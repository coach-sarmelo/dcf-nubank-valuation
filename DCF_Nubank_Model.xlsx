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elo\Downloads\"/>
    </mc:Choice>
  </mc:AlternateContent>
  <xr:revisionPtr revIDLastSave="0" documentId="8_{AFA88CFF-BDD8-4BF8-988E-D80AA1725D2D}" xr6:coauthVersionLast="47" xr6:coauthVersionMax="47" xr10:uidLastSave="{00000000-0000-0000-0000-000000000000}"/>
  <bookViews>
    <workbookView xWindow="3900" yWindow="2484" windowWidth="13920" windowHeight="12120" tabRatio="500" xr2:uid="{00000000-000D-0000-FFFF-FFFF00000000}"/>
  </bookViews>
  <sheets>
    <sheet name="Dashboard" sheetId="1" r:id="rId1"/>
    <sheet name="Assumptions" sheetId="2" r:id="rId2"/>
    <sheet name="Historical Data" sheetId="3" r:id="rId3"/>
    <sheet name="Income Statement" sheetId="4" r:id="rId4"/>
    <sheet name="Cash Flow Projection" sheetId="5" r:id="rId5"/>
    <sheet name="DCF Valuation" sheetId="6" r:id="rId6"/>
    <sheet name="Sensitivity Analysi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7" i="6" l="1"/>
  <c r="C26" i="6"/>
  <c r="C40" i="6" s="1"/>
  <c r="C24" i="6"/>
  <c r="C39" i="6" s="1"/>
  <c r="C14" i="6"/>
  <c r="C12" i="5"/>
  <c r="D12" i="5" s="1"/>
  <c r="E12" i="5" s="1"/>
  <c r="F12" i="5" s="1"/>
  <c r="G12" i="5" s="1"/>
  <c r="C10" i="5"/>
  <c r="C13" i="5" s="1"/>
  <c r="C25" i="4"/>
  <c r="C24" i="4"/>
  <c r="D24" i="4" s="1"/>
  <c r="E24" i="4" s="1"/>
  <c r="F24" i="4" s="1"/>
  <c r="G24" i="4" s="1"/>
  <c r="D23" i="4"/>
  <c r="E23" i="4" s="1"/>
  <c r="F23" i="4" s="1"/>
  <c r="G23" i="4" s="1"/>
  <c r="C23" i="4"/>
  <c r="C22" i="4"/>
  <c r="D22" i="4" s="1"/>
  <c r="E22" i="4" s="1"/>
  <c r="F22" i="4" s="1"/>
  <c r="G22" i="4" s="1"/>
  <c r="C21" i="4"/>
  <c r="D21" i="4" s="1"/>
  <c r="C18" i="4"/>
  <c r="C11" i="5" s="1"/>
  <c r="G17" i="4"/>
  <c r="F17" i="4"/>
  <c r="E17" i="4"/>
  <c r="D17" i="4"/>
  <c r="C17" i="4"/>
  <c r="C16" i="4"/>
  <c r="D16" i="4" s="1"/>
  <c r="C11" i="4"/>
  <c r="C9" i="4"/>
  <c r="D9" i="4" s="1"/>
  <c r="C8" i="4"/>
  <c r="C6" i="4"/>
  <c r="D61" i="3"/>
  <c r="D60" i="3"/>
  <c r="D59" i="3"/>
  <c r="D58" i="3"/>
  <c r="D57" i="3"/>
  <c r="D56" i="3"/>
  <c r="B58" i="2"/>
  <c r="B32" i="2"/>
  <c r="B30" i="2"/>
  <c r="B31" i="2" s="1"/>
  <c r="B27" i="2"/>
  <c r="B26" i="2"/>
  <c r="B24" i="2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B21" i="1"/>
  <c r="C20" i="1"/>
  <c r="B20" i="1"/>
  <c r="B19" i="1"/>
  <c r="B18" i="1"/>
  <c r="C17" i="1"/>
  <c r="B17" i="1"/>
  <c r="C16" i="1"/>
  <c r="B16" i="1"/>
  <c r="B12" i="1"/>
  <c r="B11" i="1"/>
  <c r="B9" i="1"/>
  <c r="D25" i="4" l="1"/>
  <c r="E21" i="4"/>
  <c r="D20" i="1"/>
  <c r="D18" i="4"/>
  <c r="E16" i="4"/>
  <c r="B33" i="2"/>
  <c r="D16" i="1"/>
  <c r="D6" i="4"/>
  <c r="D17" i="5"/>
  <c r="D8" i="4"/>
  <c r="D11" i="4"/>
  <c r="D15" i="5"/>
  <c r="D7" i="4"/>
  <c r="E9" i="4"/>
  <c r="D12" i="4"/>
  <c r="C7" i="4"/>
  <c r="C15" i="5"/>
  <c r="D10" i="5"/>
  <c r="C17" i="5"/>
  <c r="C12" i="4"/>
  <c r="C13" i="4" s="1"/>
  <c r="C14" i="4" s="1"/>
  <c r="C19" i="4" s="1"/>
  <c r="C27" i="4" s="1"/>
  <c r="C34" i="4"/>
  <c r="C6" i="5" l="1"/>
  <c r="C28" i="4"/>
  <c r="C29" i="4" s="1"/>
  <c r="C32" i="4"/>
  <c r="E18" i="4"/>
  <c r="F16" i="4"/>
  <c r="E20" i="1"/>
  <c r="G7" i="6"/>
  <c r="B53" i="2"/>
  <c r="B10" i="1"/>
  <c r="F7" i="6"/>
  <c r="E7" i="6"/>
  <c r="C15" i="6"/>
  <c r="D7" i="6"/>
  <c r="C7" i="6"/>
  <c r="B28" i="1"/>
  <c r="E12" i="4"/>
  <c r="E6" i="4"/>
  <c r="E17" i="5"/>
  <c r="E8" i="4"/>
  <c r="E11" i="4"/>
  <c r="E13" i="4" s="1"/>
  <c r="E14" i="4" s="1"/>
  <c r="E19" i="4" s="1"/>
  <c r="E27" i="4" s="1"/>
  <c r="E15" i="5"/>
  <c r="E7" i="4"/>
  <c r="F9" i="4"/>
  <c r="E16" i="1"/>
  <c r="F21" i="4"/>
  <c r="E25" i="4"/>
  <c r="E10" i="5"/>
  <c r="D11" i="5"/>
  <c r="D13" i="5" s="1"/>
  <c r="D34" i="4"/>
  <c r="D17" i="1"/>
  <c r="D13" i="4"/>
  <c r="D14" i="4" s="1"/>
  <c r="D19" i="4" s="1"/>
  <c r="D27" i="4" s="1"/>
  <c r="E6" i="5" l="1"/>
  <c r="E28" i="4"/>
  <c r="E29" i="4" s="1"/>
  <c r="E32" i="4"/>
  <c r="C18" i="1"/>
  <c r="C33" i="4"/>
  <c r="C21" i="1" s="1"/>
  <c r="D6" i="5"/>
  <c r="D28" i="4"/>
  <c r="D29" i="4" s="1"/>
  <c r="D32" i="4"/>
  <c r="E13" i="5"/>
  <c r="F10" i="5"/>
  <c r="G16" i="4"/>
  <c r="F20" i="1"/>
  <c r="F18" i="4"/>
  <c r="C7" i="5"/>
  <c r="C8" i="5"/>
  <c r="E34" i="4"/>
  <c r="E11" i="5"/>
  <c r="E17" i="1"/>
  <c r="F25" i="4"/>
  <c r="G21" i="4"/>
  <c r="G25" i="4" s="1"/>
  <c r="F12" i="4"/>
  <c r="F17" i="5"/>
  <c r="F8" i="4"/>
  <c r="F11" i="4"/>
  <c r="F15" i="5"/>
  <c r="F7" i="4"/>
  <c r="G9" i="4"/>
  <c r="F16" i="1"/>
  <c r="F6" i="4"/>
  <c r="D18" i="1" l="1"/>
  <c r="D33" i="4"/>
  <c r="D21" i="1" s="1"/>
  <c r="E33" i="4"/>
  <c r="E21" i="1" s="1"/>
  <c r="E18" i="1"/>
  <c r="G6" i="4"/>
  <c r="G17" i="5"/>
  <c r="G11" i="4"/>
  <c r="G13" i="4" s="1"/>
  <c r="G14" i="4" s="1"/>
  <c r="G19" i="4" s="1"/>
  <c r="G27" i="4" s="1"/>
  <c r="G15" i="5"/>
  <c r="G7" i="4"/>
  <c r="G16" i="1"/>
  <c r="G8" i="4"/>
  <c r="G12" i="4"/>
  <c r="D7" i="5"/>
  <c r="D8" i="5" s="1"/>
  <c r="G10" i="5"/>
  <c r="E8" i="5"/>
  <c r="E7" i="5"/>
  <c r="C19" i="5"/>
  <c r="C23" i="5"/>
  <c r="F17" i="1"/>
  <c r="F11" i="5"/>
  <c r="F13" i="5" s="1"/>
  <c r="F34" i="4"/>
  <c r="F13" i="4"/>
  <c r="F14" i="4" s="1"/>
  <c r="F19" i="4" s="1"/>
  <c r="F27" i="4" s="1"/>
  <c r="G20" i="1"/>
  <c r="G18" i="4"/>
  <c r="G6" i="5" l="1"/>
  <c r="G28" i="4"/>
  <c r="G29" i="4" s="1"/>
  <c r="G32" i="4"/>
  <c r="D23" i="5"/>
  <c r="D19" i="5"/>
  <c r="E23" i="5"/>
  <c r="E19" i="5"/>
  <c r="C22" i="5"/>
  <c r="C6" i="6"/>
  <c r="C8" i="6" s="1"/>
  <c r="C19" i="1"/>
  <c r="G17" i="1"/>
  <c r="G11" i="5"/>
  <c r="G34" i="4"/>
  <c r="G13" i="5"/>
  <c r="F6" i="5"/>
  <c r="F28" i="4"/>
  <c r="F32" i="4"/>
  <c r="F29" i="4"/>
  <c r="G33" i="4" l="1"/>
  <c r="G21" i="1" s="1"/>
  <c r="G18" i="1"/>
  <c r="D22" i="5"/>
  <c r="D6" i="6"/>
  <c r="D8" i="6" s="1"/>
  <c r="D19" i="1"/>
  <c r="F33" i="4"/>
  <c r="F21" i="1" s="1"/>
  <c r="F18" i="1"/>
  <c r="F7" i="5"/>
  <c r="F8" i="5"/>
  <c r="E19" i="1"/>
  <c r="E22" i="5"/>
  <c r="E6" i="6"/>
  <c r="E8" i="6" s="1"/>
  <c r="G7" i="5"/>
  <c r="G8" i="5"/>
  <c r="F19" i="5" l="1"/>
  <c r="F23" i="5"/>
  <c r="G19" i="5"/>
  <c r="G23" i="5"/>
  <c r="G22" i="5" l="1"/>
  <c r="G19" i="1"/>
  <c r="C13" i="6"/>
  <c r="C18" i="6" s="1"/>
  <c r="C21" i="6" s="1"/>
  <c r="G6" i="6"/>
  <c r="G8" i="6" s="1"/>
  <c r="F19" i="1"/>
  <c r="F22" i="5"/>
  <c r="F6" i="6"/>
  <c r="F8" i="6" s="1"/>
  <c r="C10" i="6" s="1"/>
  <c r="C23" i="6" l="1"/>
  <c r="B8" i="1"/>
  <c r="C36" i="6"/>
  <c r="C38" i="6" l="1"/>
  <c r="C28" i="6"/>
  <c r="B6" i="1"/>
  <c r="C41" i="6" l="1"/>
  <c r="C33" i="6"/>
  <c r="B7" i="1"/>
  <c r="C32" i="6"/>
  <c r="C42" i="6" l="1"/>
  <c r="B5" i="1"/>
</calcChain>
</file>

<file path=xl/sharedStrings.xml><?xml version="1.0" encoding="utf-8"?>
<sst xmlns="http://schemas.openxmlformats.org/spreadsheetml/2006/main" count="375" uniqueCount="236">
  <si>
    <t>📊  NUBANK VALUATION DASHBOARD  |  Nu Financeira S.A.  |  30/06/2025</t>
  </si>
  <si>
    <t>DCF Model — Em R$ Milhares  |  Fonte: Demonstrações Contábeis H1 2025 (KPMG)</t>
  </si>
  <si>
    <t xml:space="preserve">  SECTION 1 — VALUATION SUMMARY</t>
  </si>
  <si>
    <t>Valor Intrínseco por Ação (R$)</t>
  </si>
  <si>
    <t>Enterprise Value — TEV (R$ mil)</t>
  </si>
  <si>
    <t>Equity Value (R$ mil)</t>
  </si>
  <si>
    <t>PV FCFF Período Explícito (R$ mil)</t>
  </si>
  <si>
    <t>PV Terminal Value (R$ mil)</t>
  </si>
  <si>
    <t>WACC utilizado</t>
  </si>
  <si>
    <t>Terminal Growth Rate</t>
  </si>
  <si>
    <t>Data de Valuation</t>
  </si>
  <si>
    <t xml:space="preserve">  SECTION 2 — DEMONSTRATIVO FINANCEIRO HISTÓRICO vs. PROJETADO</t>
  </si>
  <si>
    <t>Indicador</t>
  </si>
  <si>
    <t>H1 2025 (Real)</t>
  </si>
  <si>
    <t>2025E</t>
  </si>
  <si>
    <t>2026E</t>
  </si>
  <si>
    <t>2027E</t>
  </si>
  <si>
    <t>2028E</t>
  </si>
  <si>
    <t>2029E</t>
  </si>
  <si>
    <t>Receita Total (R$ mil)</t>
  </si>
  <si>
    <t>Provisão ECL (R$ mil)</t>
  </si>
  <si>
    <t>Resultado Líquido (R$ mil)</t>
  </si>
  <si>
    <t>FCFF (R$ mil)</t>
  </si>
  <si>
    <t>Operações de Crédito — Bruto</t>
  </si>
  <si>
    <t>Net Margin</t>
  </si>
  <si>
    <t xml:space="preserve">  SECTION 3 — PREMISSAS-CHAVE</t>
  </si>
  <si>
    <t>Parâmetro</t>
  </si>
  <si>
    <t>Terminal</t>
  </si>
  <si>
    <t>Crescimento Receita</t>
  </si>
  <si>
    <t>EBIT Margin</t>
  </si>
  <si>
    <t>Tax Rate</t>
  </si>
  <si>
    <t>WACC</t>
  </si>
  <si>
    <t xml:space="preserve">  SECTION 4 — ANÁLISE DE SENSIBILIDADE (EXCERTO) — Valor por Ação (R$)</t>
  </si>
  <si>
    <t>Ver aba 'Sensitivity Analysis' para análise completa</t>
  </si>
  <si>
    <t>Rev. Growth \ WACC</t>
  </si>
  <si>
    <t>5.50%</t>
  </si>
  <si>
    <t>6.00%</t>
  </si>
  <si>
    <t>6.38%</t>
  </si>
  <si>
    <t>7.00%</t>
  </si>
  <si>
    <t>7.50%</t>
  </si>
  <si>
    <t>DCF MODEL — NU FINANCEIRA S.A.   |   Discounted Cash Flow Valuation (H1 2025)</t>
  </si>
  <si>
    <t>Demonstrações Contábeis — 30/06/2025  |  Em R$ Milhares</t>
  </si>
  <si>
    <t xml:space="preserve">  SECTION 1 — COMPANY &amp; PERIOD INFORMATION</t>
  </si>
  <si>
    <t>Company Name</t>
  </si>
  <si>
    <t>Nu Financeira S.A.</t>
  </si>
  <si>
    <t>Ticker</t>
  </si>
  <si>
    <t>NUBANK (Nu Holdings Ltd.)</t>
  </si>
  <si>
    <t>Valuation Date</t>
  </si>
  <si>
    <t>30/06/2025</t>
  </si>
  <si>
    <t>Analysis Period (Years)</t>
  </si>
  <si>
    <t>Currency</t>
  </si>
  <si>
    <t>BRL (Milhares)</t>
  </si>
  <si>
    <t>Last Fiscal Year Ended</t>
  </si>
  <si>
    <t xml:space="preserve">  SECTION 2 — ECONOMIC &amp; MARKET ASSUMPTIONS</t>
  </si>
  <si>
    <t>Revenue Growth Rate</t>
  </si>
  <si>
    <t>CAPEX / Revenue</t>
  </si>
  <si>
    <t>NWC Change / Revenue</t>
  </si>
  <si>
    <t xml:space="preserve">  SECTION 3 — WACC (WEIGHTED AVERAGE COST OF CAPITAL)</t>
  </si>
  <si>
    <t>Risk-Free Rate (Rf)</t>
  </si>
  <si>
    <t>Market Risk Premium (Rm-Rf)</t>
  </si>
  <si>
    <t>Beta (Financial Services)</t>
  </si>
  <si>
    <t>Cost of Equity (Ke)</t>
  </si>
  <si>
    <t>Weighted Avg Cost of Debt (pre-tax)</t>
  </si>
  <si>
    <t>After-Tax Cost of Debt (Kd)</t>
  </si>
  <si>
    <t>Total Debt (R$ mil)</t>
  </si>
  <si>
    <t>Equity / Market Cap (R$ mil)</t>
  </si>
  <si>
    <t>Total Capital (R$ mil)</t>
  </si>
  <si>
    <t>Debt Weight (D/V)</t>
  </si>
  <si>
    <t>Equity Weight (E/V)</t>
  </si>
  <si>
    <t xml:space="preserve">  SECTION 4 — CREDIT PORTFOLIO ASSUMPTIONS</t>
  </si>
  <si>
    <t>Total Gross Credit 30/06/2025 (R$ mil)</t>
  </si>
  <si>
    <t>Provision for Losses 30/06/2025 (R$ mil)</t>
  </si>
  <si>
    <t>Coverage Ratio</t>
  </si>
  <si>
    <t>Projected Credit Growth — Base Case</t>
  </si>
  <si>
    <t>Provision Rate 2025</t>
  </si>
  <si>
    <t>Provision Rate 2026</t>
  </si>
  <si>
    <t>Provision Rate 2027</t>
  </si>
  <si>
    <t>Provision Rate 2028</t>
  </si>
  <si>
    <t>Provision Rate 2029</t>
  </si>
  <si>
    <t xml:space="preserve">  SECTION 5 — DEPOSIT &amp; FUNDING ASSUMPTIONS</t>
  </si>
  <si>
    <t>Total Deposits 30/06/2025 (R$ mil)</t>
  </si>
  <si>
    <t>Average Cost of Deposits</t>
  </si>
  <si>
    <t>Expected Growth Rate p.a.</t>
  </si>
  <si>
    <t xml:space="preserve">  SECTION 6 — SENSITIVITY PARAMETERS</t>
  </si>
  <si>
    <t>WACC Min</t>
  </si>
  <si>
    <t>WACC Base</t>
  </si>
  <si>
    <t>WACC Max</t>
  </si>
  <si>
    <t>Revenue Growth Min</t>
  </si>
  <si>
    <t>Revenue Growth Base</t>
  </si>
  <si>
    <t>Revenue Growth Max</t>
  </si>
  <si>
    <t>Terminal Growth (Perpetuity)</t>
  </si>
  <si>
    <t>Source: Nu Financeira S.A. — Demonstrações Contábeis 30/06/2025 (auditadas pela KPMG)</t>
  </si>
  <si>
    <t>NU FINANCEIRA S.A. — HISTORICAL FINANCIALS  |  H1 2025 (Semestre findo 30/06/2025)</t>
  </si>
  <si>
    <t>Em R$ Milhares  |  Fonte: Demonstrações Contábeis auditadas pela KPMG</t>
  </si>
  <si>
    <t>Item</t>
  </si>
  <si>
    <t>2023E</t>
  </si>
  <si>
    <t>2024E</t>
  </si>
  <si>
    <t>H1 2025</t>
  </si>
  <si>
    <t xml:space="preserve">  DEMONSTRAÇÃO DO RESULTADO (DRE)</t>
  </si>
  <si>
    <t>Receitas de Intermediação Financeira</t>
  </si>
  <si>
    <t>[Est.]</t>
  </si>
  <si>
    <t xml:space="preserve">  Receita de Operações de Crédito</t>
  </si>
  <si>
    <t xml:space="preserve">  Resultado de TVM</t>
  </si>
  <si>
    <t xml:space="preserve">  Resultado de Depósitos no Banco Central</t>
  </si>
  <si>
    <t>Despesas de Intermediação Financeira</t>
  </si>
  <si>
    <t xml:space="preserve">  Despesa de Juros e Similares</t>
  </si>
  <si>
    <t xml:space="preserve">  Resultado com Derivativos</t>
  </si>
  <si>
    <t>Resultado de Interm. Fin. (antes provisão)</t>
  </si>
  <si>
    <t>Provisão para Perdas Esperadas (ECL)</t>
  </si>
  <si>
    <t>Resultado de Intermediação Financeira</t>
  </si>
  <si>
    <t>Outras Receitas/Despesas Operacionais</t>
  </si>
  <si>
    <t xml:space="preserve">  Despesas de Pessoal</t>
  </si>
  <si>
    <t xml:space="preserve">  Despesas Tributárias</t>
  </si>
  <si>
    <t xml:space="preserve">  Despesas Gerais e Administrativas</t>
  </si>
  <si>
    <t xml:space="preserve">  Resultado em Controladas</t>
  </si>
  <si>
    <t xml:space="preserve">  Outras Receitas Operacionais</t>
  </si>
  <si>
    <t xml:space="preserve">  Outras Despesas Operacionais</t>
  </si>
  <si>
    <t>Resultado antes dos Tributos (EBT)</t>
  </si>
  <si>
    <t>Imposto de Renda e CSLL</t>
  </si>
  <si>
    <t>Resultado Líquido</t>
  </si>
  <si>
    <t xml:space="preserve">  BALANÇO PATRIMONIAL (ITENS SELECIONADOS)</t>
  </si>
  <si>
    <t>Total do Ativo</t>
  </si>
  <si>
    <t>Caixa e Equivalentes de Caixa</t>
  </si>
  <si>
    <t>Ativos Financeiros — TVM</t>
  </si>
  <si>
    <t>Provisão para Perdas (ECL)</t>
  </si>
  <si>
    <t>Operações de Crédito — Líquido</t>
  </si>
  <si>
    <t>Depósitos Compulsórios no BACEN</t>
  </si>
  <si>
    <t>Total do Passivo</t>
  </si>
  <si>
    <t>Depósitos (RDB + CDB)</t>
  </si>
  <si>
    <t>Empréstimos e Financiamentos</t>
  </si>
  <si>
    <t>Dívidas Subordinadas</t>
  </si>
  <si>
    <t>Obrigações Compromissadas</t>
  </si>
  <si>
    <t>Patrimônio Líquido</t>
  </si>
  <si>
    <t xml:space="preserve">  Capital Social</t>
  </si>
  <si>
    <t xml:space="preserve">  Reservas de Lucros</t>
  </si>
  <si>
    <t xml:space="preserve">  Lucros Acumulados</t>
  </si>
  <si>
    <t xml:space="preserve">  DEMONSTRAÇÃO DO FLUXO DE CAIXA (DFC)</t>
  </si>
  <si>
    <t>Provisão para Perdas (ajuste não-caixa DFC)</t>
  </si>
  <si>
    <t>Depreciação/Amortização</t>
  </si>
  <si>
    <t>Variação Valor Justo TVM</t>
  </si>
  <si>
    <t>Fluxo Caixa Operacional</t>
  </si>
  <si>
    <t>Fluxo Caixa de Investimento</t>
  </si>
  <si>
    <t>Fluxo Caixa de Financiamento</t>
  </si>
  <si>
    <t>Variação Líquida de Caixa</t>
  </si>
  <si>
    <t xml:space="preserve">  INDICADORES-CHAVE (H1 2025)</t>
  </si>
  <si>
    <t>ROA — Return on Assets</t>
  </si>
  <si>
    <t>5,74%</t>
  </si>
  <si>
    <t>ROE — Return on Equity</t>
  </si>
  <si>
    <t>45,66%</t>
  </si>
  <si>
    <t>NIM — Net Interest Margin</t>
  </si>
  <si>
    <t>15,86%</t>
  </si>
  <si>
    <t>Coverage Ratio (Provisão/Crédito Bruto)</t>
  </si>
  <si>
    <t>35,00%</t>
  </si>
  <si>
    <t>Resultado Líquido / Receita</t>
  </si>
  <si>
    <t>18,21%</t>
  </si>
  <si>
    <t>Eficiência (Opex/Receita)</t>
  </si>
  <si>
    <t>12,14%</t>
  </si>
  <si>
    <t>PROJECTED INCOME STATEMENT (2025E – 2029E)  |  Nu Financeira S.A.</t>
  </si>
  <si>
    <t>Em R$ Milhares  |  Projeção baseada em H1 2025 anualizado</t>
  </si>
  <si>
    <t>Nota</t>
  </si>
  <si>
    <t xml:space="preserve">  RECEITAS DE INTERMEDIAÇÃO FINANCEIRA</t>
  </si>
  <si>
    <t xml:space="preserve">  Resultado de Depósitos no BACEN e Outros</t>
  </si>
  <si>
    <t>Total Receitas Intermediação Financeira</t>
  </si>
  <si>
    <t xml:space="preserve">  DESPESAS DE INTERMEDIAÇÃO FINANCEIRA</t>
  </si>
  <si>
    <t>Total Despesas Intermediação Financeira</t>
  </si>
  <si>
    <t>Resultado Interm. Fin. antes da Provisão</t>
  </si>
  <si>
    <t xml:space="preserve">  PROVISÃO PARA PERDAS ESPERADAS (ECL)</t>
  </si>
  <si>
    <t xml:space="preserve">  Operações de Crédito — Bruto (projetado)</t>
  </si>
  <si>
    <t xml:space="preserve">  Taxa de Provisão (% crédito bruto)</t>
  </si>
  <si>
    <t>Resultado de Interm. Financeira (após provisão)</t>
  </si>
  <si>
    <t xml:space="preserve">  OUTRAS RECEITAS/DESPESAS OPERACIONAIS</t>
  </si>
  <si>
    <t xml:space="preserve">  Outras Receitas/Despesas Operacionais (líq.)</t>
  </si>
  <si>
    <t>Total Outras Receitas/Despesas Operacionais</t>
  </si>
  <si>
    <t xml:space="preserve">  RESULTADO &amp; TRIBUTOS</t>
  </si>
  <si>
    <t xml:space="preserve">  Imposto de Renda e CSLL</t>
  </si>
  <si>
    <t xml:space="preserve">  INDICADORES</t>
  </si>
  <si>
    <t xml:space="preserve">  EBIT Margin (EBT/Receita)</t>
  </si>
  <si>
    <t xml:space="preserve">  Net Margin (Liq./Receita)</t>
  </si>
  <si>
    <t xml:space="preserve">  Provision / Credit (taxa de provisão)</t>
  </si>
  <si>
    <t>PROJECTED FREE CASH FLOW TO FIRM (FCFF)  |  Nu Financeira S.A.</t>
  </si>
  <si>
    <t>Em R$ Milhares</t>
  </si>
  <si>
    <t xml:space="preserve">  EBIT &amp; NOPAT</t>
  </si>
  <si>
    <t xml:space="preserve">  EBIT (Resultado antes Tributos — IS)</t>
  </si>
  <si>
    <t xml:space="preserve">  Impostos sobre EBIT</t>
  </si>
  <si>
    <t>NOPAT (Net Operating Profit After Tax)</t>
  </si>
  <si>
    <t xml:space="preserve">  AJUSTES NÃO-CAIXA</t>
  </si>
  <si>
    <t xml:space="preserve">  Depreciação/Amortização</t>
  </si>
  <si>
    <t xml:space="preserve">  Variação Provisão ECL (não-caixa)</t>
  </si>
  <si>
    <t xml:space="preserve">  Outros Ajustes Não-Caixa</t>
  </si>
  <si>
    <t>Total Ajustes Não-Caixa</t>
  </si>
  <si>
    <t xml:space="preserve">  VARIAÇÃO NO CAPITAL DE GIRO (NWC)</t>
  </si>
  <si>
    <t xml:space="preserve">  Variação no NWC (% Receita)</t>
  </si>
  <si>
    <t xml:space="preserve">  CAPEX (DESPESAS DE CAPITAL)</t>
  </si>
  <si>
    <t xml:space="preserve">  CAPEX (% Receita)</t>
  </si>
  <si>
    <t xml:space="preserve">  FREE CASH FLOW TO FIRM (FCFF)</t>
  </si>
  <si>
    <t>FREE CASH FLOW TO FIRM (FCFF)</t>
  </si>
  <si>
    <t xml:space="preserve">  INDICADORES FCF</t>
  </si>
  <si>
    <t xml:space="preserve">  FCFF / Receita</t>
  </si>
  <si>
    <t xml:space="preserve">  NOPAT / Receita</t>
  </si>
  <si>
    <t>DISCOUNTED CASH FLOW (DCF) VALUATION  |  Nu Financeira S.A.</t>
  </si>
  <si>
    <t xml:space="preserve">  SECTION 1 — FREE CASH FLOW TO FIRM (FCFF) E VALOR PRESENTE</t>
  </si>
  <si>
    <t xml:space="preserve">  Free Cash Flow to Firm (FCFF)</t>
  </si>
  <si>
    <t xml:space="preserve">  Fator de Desconto  (1+WACC)^t</t>
  </si>
  <si>
    <t xml:space="preserve">  Valor Presente do FCFF</t>
  </si>
  <si>
    <t>TOTAL PV FCFF — PERÍODO EXPLÍCITO (2025-2029)</t>
  </si>
  <si>
    <t xml:space="preserve">  SECTION 2 — VALOR TERMINAL (GORDON GROWTH MODEL)</t>
  </si>
  <si>
    <t>FCFF no Ano Terminal (2029E)</t>
  </si>
  <si>
    <t>Taxa de Crescimento Terminal (g)</t>
  </si>
  <si>
    <t>Terminal Value  =  FCFF_t × (1+g) / (WACC - g)</t>
  </si>
  <si>
    <t>Terminal Value (TV)</t>
  </si>
  <si>
    <t>PV do Terminal Value  =  TV / (1+WACC)^5</t>
  </si>
  <si>
    <t>PV do Terminal Value</t>
  </si>
  <si>
    <t xml:space="preserve">  SECTION 3 — ENTERPRISE VALUE &amp; EQUITY VALUE</t>
  </si>
  <si>
    <t>Total Enterprise Value (TEV)</t>
  </si>
  <si>
    <t xml:space="preserve">  Menos: Dívida Total (30/06/2025)</t>
  </si>
  <si>
    <t xml:space="preserve">  Menos: Interesses Minoritários</t>
  </si>
  <si>
    <t xml:space="preserve">  Mais: Caixa e Equivalentes (30/06/2025)</t>
  </si>
  <si>
    <t>EQUITY VALUE (VALOR DO CAPITAL PRÓPRIO)</t>
  </si>
  <si>
    <t xml:space="preserve">  SECTION 4 — VALOR INTRÍNSECO POR AÇÃO</t>
  </si>
  <si>
    <t xml:space="preserve">  Número de Ações (em milhares)</t>
  </si>
  <si>
    <t xml:space="preserve">  Equity Value (R$ mil)</t>
  </si>
  <si>
    <t>VALOR INTRÍNSECO POR AÇÃO (R$)</t>
  </si>
  <si>
    <t xml:space="preserve">  RESUMO DO VALUATION</t>
  </si>
  <si>
    <t>PV FCFF — Período Explícito (2025-2029)</t>
  </si>
  <si>
    <t>PV do Valor Terminal</t>
  </si>
  <si>
    <t>(-) Dívida Total</t>
  </si>
  <si>
    <t>(+) Caixa</t>
  </si>
  <si>
    <t>Equity Value</t>
  </si>
  <si>
    <t>Valor por Ação (R$)</t>
  </si>
  <si>
    <t>SENSITIVITY ANALYSIS — VALOR INTRÍNSECO POR AÇÃO (R$)  |  Nu Financeira S.A.</t>
  </si>
  <si>
    <t>Variáveis: WACC (colunas) × Crescimento de Receita (linhas)</t>
  </si>
  <si>
    <t xml:space="preserve">  WACC vs. CRESCIMENTO DE RECEITA — Valor por Ação (R$)</t>
  </si>
  <si>
    <t>Rev. Growth ↓   /   WACC →</t>
  </si>
  <si>
    <t>🟨 Base Case (WACC≈6.38%, Growth=9%)   🟩 Upside   🟧 Moderate   🟥 Downside</t>
  </si>
  <si>
    <t xml:space="preserve">  WACC vs. CRESCIMENTO TERMINAL — Valor por Ação (R$)</t>
  </si>
  <si>
    <t>Term. Growth ↓  /  WACC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</si>
</sst>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#,##0.00"/>
    <numFmt numFmtId="165" formatCode="#,##0;\(#,##0\);\-"/>
    <numFmt numFmtId="166" formatCode="0.00%;\(0.00%\);\-"/>
    <numFmt numFmtId="167" formatCode="0.0%;\(0.0%\);\-"/>
    <numFmt numFmtId="168" formatCode="0.0000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008000"/>
      <name val="Arial"/>
      <charset val="1"/>
    </font>
    <font>
      <sz val="10"/>
      <color rgb="FF008000"/>
      <name val="Arial"/>
      <charset val="1"/>
    </font>
    <font>
      <i/>
      <sz val="10"/>
      <name val="Arial"/>
      <charset val="1"/>
    </font>
    <font>
      <sz val="10"/>
      <color rgb="FF276221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1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8"/>
      <color rgb="FF808080"/>
      <name val="Arial"/>
      <charset val="1"/>
    </font>
    <font>
      <b/>
      <sz val="11"/>
      <color rgb="FF000000"/>
      <name val="Arial"/>
      <charset val="1"/>
    </font>
    <font>
      <i/>
      <sz val="10"/>
      <color rgb="FF808080"/>
      <name val="Arial"/>
      <charset val="1"/>
    </font>
    <font>
      <b/>
      <sz val="10"/>
      <color rgb="FF0000FF"/>
      <name val="Arial"/>
      <charset val="1"/>
    </font>
    <font>
      <b/>
      <sz val="11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C6EFCE"/>
      </patternFill>
    </fill>
    <fill>
      <patternFill patternType="solid">
        <fgColor rgb="FF4472C4"/>
        <bgColor rgb="FF2E75B6"/>
      </patternFill>
    </fill>
    <fill>
      <patternFill patternType="solid">
        <fgColor rgb="FFC6EFCE"/>
        <bgColor rgb="FFD6E4F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7" fillId="0" borderId="0" xfId="0" applyFont="1"/>
    <xf numFmtId="165" fontId="18" fillId="5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165" fontId="5" fillId="4" borderId="2" xfId="0" applyNumberFormat="1" applyFont="1" applyFill="1" applyBorder="1" applyAlignment="1">
      <alignment horizontal="right" vertical="center"/>
    </xf>
    <xf numFmtId="165" fontId="5" fillId="0" borderId="2" xfId="0" applyNumberFormat="1" applyFont="1" applyBorder="1" applyAlignment="1">
      <alignment horizontal="right" vertical="center"/>
    </xf>
    <xf numFmtId="166" fontId="5" fillId="4" borderId="2" xfId="0" applyNumberFormat="1" applyFont="1" applyFill="1" applyBorder="1" applyAlignment="1">
      <alignment horizontal="right" vertical="center"/>
    </xf>
    <xf numFmtId="166" fontId="5" fillId="0" borderId="2" xfId="0" applyNumberFormat="1" applyFont="1" applyBorder="1" applyAlignment="1">
      <alignment horizontal="right" vertical="center"/>
    </xf>
    <xf numFmtId="49" fontId="5" fillId="4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 wrapText="1"/>
    </xf>
    <xf numFmtId="165" fontId="6" fillId="4" borderId="2" xfId="0" applyNumberFormat="1" applyFont="1" applyFill="1" applyBorder="1" applyAlignment="1">
      <alignment horizontal="right" vertical="center"/>
    </xf>
    <xf numFmtId="165" fontId="6" fillId="0" borderId="2" xfId="0" applyNumberFormat="1" applyFont="1" applyBorder="1" applyAlignment="1">
      <alignment horizontal="right" vertical="center"/>
    </xf>
    <xf numFmtId="167" fontId="6" fillId="0" borderId="2" xfId="0" applyNumberFormat="1" applyFont="1" applyBorder="1" applyAlignment="1">
      <alignment horizontal="right" vertical="center"/>
    </xf>
    <xf numFmtId="166" fontId="6" fillId="0" borderId="2" xfId="0" applyNumberFormat="1" applyFont="1" applyBorder="1" applyAlignment="1">
      <alignment horizontal="right" vertical="center"/>
    </xf>
    <xf numFmtId="166" fontId="3" fillId="3" borderId="2" xfId="0" applyNumberFormat="1" applyFont="1" applyFill="1" applyBorder="1" applyAlignment="1">
      <alignment horizontal="center" vertical="center" wrapText="1"/>
    </xf>
    <xf numFmtId="164" fontId="8" fillId="6" borderId="2" xfId="0" applyNumberFormat="1" applyFont="1" applyFill="1" applyBorder="1" applyAlignment="1">
      <alignment horizontal="center" vertical="center" wrapText="1"/>
    </xf>
    <xf numFmtId="164" fontId="9" fillId="7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167" fontId="10" fillId="4" borderId="2" xfId="0" applyNumberFormat="1" applyFont="1" applyFill="1" applyBorder="1" applyAlignment="1">
      <alignment horizontal="right" vertical="center"/>
    </xf>
    <xf numFmtId="167" fontId="10" fillId="0" borderId="2" xfId="0" applyNumberFormat="1" applyFont="1" applyBorder="1" applyAlignment="1">
      <alignment horizontal="right" vertical="center"/>
    </xf>
    <xf numFmtId="166" fontId="10" fillId="0" borderId="2" xfId="0" applyNumberFormat="1" applyFont="1" applyBorder="1" applyAlignment="1">
      <alignment horizontal="right" vertical="center"/>
    </xf>
    <xf numFmtId="166" fontId="10" fillId="4" borderId="2" xfId="0" applyNumberFormat="1" applyFont="1" applyFill="1" applyBorder="1" applyAlignment="1">
      <alignment horizontal="right" vertical="center"/>
    </xf>
    <xf numFmtId="166" fontId="11" fillId="4" borderId="2" xfId="0" applyNumberFormat="1" applyFont="1" applyFill="1" applyBorder="1" applyAlignment="1">
      <alignment horizontal="right" vertical="center"/>
    </xf>
    <xf numFmtId="166" fontId="11" fillId="0" borderId="2" xfId="0" applyNumberFormat="1" applyFont="1" applyBorder="1" applyAlignment="1">
      <alignment horizontal="right" vertical="center"/>
    </xf>
    <xf numFmtId="165" fontId="10" fillId="4" borderId="2" xfId="0" applyNumberFormat="1" applyFont="1" applyFill="1" applyBorder="1" applyAlignment="1">
      <alignment horizontal="right" vertical="center"/>
    </xf>
    <xf numFmtId="165" fontId="10" fillId="0" borderId="2" xfId="0" applyNumberFormat="1" applyFont="1" applyBorder="1" applyAlignment="1">
      <alignment horizontal="right" vertical="center"/>
    </xf>
    <xf numFmtId="165" fontId="11" fillId="4" borderId="2" xfId="0" applyNumberFormat="1" applyFont="1" applyFill="1" applyBorder="1" applyAlignment="1">
      <alignment horizontal="right" vertical="center"/>
    </xf>
    <xf numFmtId="166" fontId="12" fillId="7" borderId="2" xfId="0" applyNumberFormat="1" applyFont="1" applyFill="1" applyBorder="1" applyAlignment="1">
      <alignment horizontal="right" vertical="center"/>
    </xf>
    <xf numFmtId="166" fontId="13" fillId="0" borderId="2" xfId="0" applyNumberFormat="1" applyFont="1" applyBorder="1" applyAlignment="1">
      <alignment horizontal="right" vertical="center"/>
    </xf>
    <xf numFmtId="0" fontId="14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right" vertical="center"/>
    </xf>
    <xf numFmtId="165" fontId="17" fillId="4" borderId="2" xfId="0" applyNumberFormat="1" applyFont="1" applyFill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167" fontId="12" fillId="0" borderId="2" xfId="0" applyNumberFormat="1" applyFont="1" applyBorder="1" applyAlignment="1">
      <alignment horizontal="right" vertical="center"/>
    </xf>
    <xf numFmtId="165" fontId="13" fillId="0" borderId="2" xfId="0" applyNumberFormat="1" applyFont="1" applyBorder="1" applyAlignment="1">
      <alignment horizontal="right" vertical="center"/>
    </xf>
    <xf numFmtId="0" fontId="15" fillId="0" borderId="2" xfId="0" applyFont="1" applyBorder="1" applyAlignment="1">
      <alignment horizontal="left" vertical="center"/>
    </xf>
    <xf numFmtId="165" fontId="12" fillId="4" borderId="2" xfId="0" applyNumberFormat="1" applyFont="1" applyFill="1" applyBorder="1" applyAlignment="1">
      <alignment horizontal="right" vertical="center"/>
    </xf>
    <xf numFmtId="167" fontId="13" fillId="0" borderId="2" xfId="0" applyNumberFormat="1" applyFont="1" applyBorder="1" applyAlignment="1">
      <alignment horizontal="right" vertical="center"/>
    </xf>
    <xf numFmtId="165" fontId="18" fillId="2" borderId="2" xfId="0" applyNumberFormat="1" applyFont="1" applyFill="1" applyBorder="1" applyAlignment="1">
      <alignment horizontal="right" vertical="center"/>
    </xf>
    <xf numFmtId="168" fontId="13" fillId="0" borderId="2" xfId="0" applyNumberFormat="1" applyFont="1" applyBorder="1" applyAlignment="1">
      <alignment horizontal="right" vertical="center"/>
    </xf>
    <xf numFmtId="165" fontId="9" fillId="4" borderId="2" xfId="0" applyNumberFormat="1" applyFont="1" applyFill="1" applyBorder="1" applyAlignment="1">
      <alignment horizontal="right" vertical="center"/>
    </xf>
    <xf numFmtId="164" fontId="1" fillId="2" borderId="2" xfId="0" applyNumberFormat="1" applyFont="1" applyFill="1" applyBorder="1" applyAlignment="1">
      <alignment horizontal="center" vertical="center" wrapText="1"/>
    </xf>
    <xf numFmtId="164" fontId="12" fillId="4" borderId="2" xfId="0" applyNumberFormat="1" applyFont="1" applyFill="1" applyBorder="1" applyAlignment="1">
      <alignment horizontal="right" vertical="center"/>
    </xf>
    <xf numFmtId="164" fontId="12" fillId="7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762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showGridLines="0" tabSelected="1" topLeftCell="A23" zoomScaleNormal="100" workbookViewId="0">
      <selection activeCell="A31" sqref="A31:H31"/>
    </sheetView>
  </sheetViews>
  <sheetFormatPr defaultColWidth="8.6640625" defaultRowHeight="14.4" x14ac:dyDescent="0.3"/>
  <cols>
    <col min="1" max="1" width="30.44140625" bestFit="1" customWidth="1"/>
    <col min="2" max="2" width="13.6640625" bestFit="1" customWidth="1"/>
    <col min="3" max="6" width="11.44140625" bestFit="1" customWidth="1"/>
    <col min="7" max="7" width="12.44140625" bestFit="1" customWidth="1"/>
    <col min="8" max="8" width="18" customWidth="1"/>
  </cols>
  <sheetData>
    <row r="1" spans="1:8" ht="17.399999999999999" x14ac:dyDescent="0.3">
      <c r="A1" s="6" t="s">
        <v>0</v>
      </c>
      <c r="B1" s="6"/>
      <c r="C1" s="6"/>
      <c r="D1" s="6"/>
      <c r="E1" s="6"/>
      <c r="F1" s="6"/>
      <c r="G1" s="6"/>
      <c r="H1" s="6"/>
    </row>
    <row r="2" spans="1:8" x14ac:dyDescent="0.3">
      <c r="A2" s="5" t="s">
        <v>1</v>
      </c>
      <c r="B2" s="5"/>
      <c r="C2" s="5"/>
      <c r="D2" s="5"/>
      <c r="E2" s="5"/>
      <c r="F2" s="5"/>
      <c r="G2" s="5"/>
      <c r="H2" s="5"/>
    </row>
    <row r="4" spans="1:8" x14ac:dyDescent="0.3">
      <c r="A4" s="4" t="s">
        <v>2</v>
      </c>
      <c r="B4" s="4"/>
      <c r="C4" s="4"/>
      <c r="D4" s="4"/>
      <c r="E4" s="4"/>
      <c r="F4" s="4"/>
      <c r="G4" s="4"/>
      <c r="H4" s="4"/>
    </row>
    <row r="5" spans="1:8" x14ac:dyDescent="0.3">
      <c r="A5" s="7" t="s">
        <v>3</v>
      </c>
      <c r="B5" s="8">
        <f>'DCF Valuation'!C33</f>
        <v>63.472161421858345</v>
      </c>
    </row>
    <row r="6" spans="1:8" x14ac:dyDescent="0.3">
      <c r="A6" s="9" t="s">
        <v>4</v>
      </c>
      <c r="B6" s="10">
        <f>'DCF Valuation'!C23</f>
        <v>279465476.09165692</v>
      </c>
    </row>
    <row r="7" spans="1:8" x14ac:dyDescent="0.3">
      <c r="A7" s="7" t="s">
        <v>5</v>
      </c>
      <c r="B7" s="11">
        <f>'DCF Valuation'!C28</f>
        <v>326658717.09165692</v>
      </c>
    </row>
    <row r="8" spans="1:8" x14ac:dyDescent="0.3">
      <c r="A8" s="9" t="s">
        <v>6</v>
      </c>
      <c r="B8" s="10">
        <f>'DCF Valuation'!C10</f>
        <v>279465476.09165692</v>
      </c>
    </row>
    <row r="9" spans="1:8" x14ac:dyDescent="0.3">
      <c r="A9" s="7" t="s">
        <v>7</v>
      </c>
      <c r="B9" s="11">
        <f>'DCF Valuation'!C20</f>
        <v>0</v>
      </c>
    </row>
    <row r="10" spans="1:8" x14ac:dyDescent="0.3">
      <c r="A10" s="9" t="s">
        <v>8</v>
      </c>
      <c r="B10" s="12">
        <f>Assumptions!B33</f>
        <v>6.3850446770641806E-2</v>
      </c>
    </row>
    <row r="11" spans="1:8" x14ac:dyDescent="0.3">
      <c r="A11" s="7" t="s">
        <v>9</v>
      </c>
      <c r="B11" s="13">
        <f>Assumptions!G14</f>
        <v>0.03</v>
      </c>
    </row>
    <row r="12" spans="1:8" x14ac:dyDescent="0.3">
      <c r="A12" s="9" t="s">
        <v>10</v>
      </c>
      <c r="B12" s="14" t="str">
        <f>Assumptions!B7</f>
        <v>30/06/2025</v>
      </c>
    </row>
    <row r="14" spans="1:8" x14ac:dyDescent="0.3">
      <c r="A14" s="4" t="s">
        <v>11</v>
      </c>
      <c r="B14" s="4"/>
      <c r="C14" s="4"/>
      <c r="D14" s="4"/>
      <c r="E14" s="4"/>
      <c r="F14" s="4"/>
      <c r="G14" s="4"/>
      <c r="H14" s="4"/>
    </row>
    <row r="15" spans="1:8" x14ac:dyDescent="0.3">
      <c r="A15" s="15" t="s">
        <v>12</v>
      </c>
      <c r="B15" s="15" t="s">
        <v>13</v>
      </c>
      <c r="C15" s="15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</row>
    <row r="16" spans="1:8" x14ac:dyDescent="0.3">
      <c r="A16" s="7" t="s">
        <v>19</v>
      </c>
      <c r="B16" s="16">
        <f>'Historical Data'!D6</f>
        <v>30220364</v>
      </c>
      <c r="C16" s="16">
        <f>'Income Statement'!C9</f>
        <v>66484800.800000004</v>
      </c>
      <c r="D16" s="16">
        <f>'Income Statement'!D9</f>
        <v>73133280.88000001</v>
      </c>
      <c r="E16" s="16">
        <f>'Income Statement'!E9</f>
        <v>79715276.159200013</v>
      </c>
      <c r="F16" s="16">
        <f>'Income Statement'!F9</f>
        <v>86491074.632732004</v>
      </c>
      <c r="G16" s="16">
        <f>'Income Statement'!G9</f>
        <v>93410360.603350565</v>
      </c>
    </row>
    <row r="17" spans="1:8" x14ac:dyDescent="0.3">
      <c r="A17" s="7" t="s">
        <v>20</v>
      </c>
      <c r="B17" s="17">
        <f>'Historical Data'!D14</f>
        <v>-8459601</v>
      </c>
      <c r="C17" s="17">
        <f>'Income Statement'!C18</f>
        <v>-10652987.443500001</v>
      </c>
      <c r="D17" s="17">
        <f>'Income Statement'!D18</f>
        <v>-55928184.078375012</v>
      </c>
      <c r="E17" s="17">
        <f>'Income Statement'!E18</f>
        <v>-74424433.527151883</v>
      </c>
      <c r="F17" s="17">
        <f>'Income Statement'!F18</f>
        <v>-99016855.040471658</v>
      </c>
      <c r="G17" s="17">
        <f>'Income Statement'!G18</f>
        <v>-131706978.50603916</v>
      </c>
    </row>
    <row r="18" spans="1:8" x14ac:dyDescent="0.3">
      <c r="A18" s="7" t="s">
        <v>21</v>
      </c>
      <c r="B18" s="16">
        <f>'Historical Data'!D25</f>
        <v>5504578</v>
      </c>
      <c r="C18" s="16">
        <f>'Income Statement'!C29</f>
        <v>28101903.947890498</v>
      </c>
      <c r="D18" s="16">
        <f>'Income Statement'!D29</f>
        <v>2750389.3864151193</v>
      </c>
      <c r="E18" s="16">
        <f>'Income Statement'!E29</f>
        <v>-5577823.6744651459</v>
      </c>
      <c r="F18" s="16">
        <f>'Income Statement'!F29</f>
        <v>-17687600.237451747</v>
      </c>
      <c r="G18" s="16">
        <f>'Income Statement'!G29</f>
        <v>-34880317.971151948</v>
      </c>
    </row>
    <row r="19" spans="1:8" x14ac:dyDescent="0.3">
      <c r="A19" s="7" t="s">
        <v>22</v>
      </c>
      <c r="B19" s="17">
        <f>'Historical Data'!D49</f>
        <v>-50244</v>
      </c>
      <c r="C19" s="17">
        <f>'Cash Flow Projection'!C19</f>
        <v>55738231.207229383</v>
      </c>
      <c r="D19" s="17">
        <f>'Cash Flow Projection'!D19</f>
        <v>61917289.007544294</v>
      </c>
      <c r="E19" s="17">
        <f>'Cash Flow Projection'!E19</f>
        <v>67674149.916135162</v>
      </c>
      <c r="F19" s="17">
        <f>'Cash Flow Projection'!F19</f>
        <v>73676519.403949454</v>
      </c>
      <c r="G19" s="17">
        <f>'Cash Flow Projection'!G19</f>
        <v>79909726.14655146</v>
      </c>
    </row>
    <row r="20" spans="1:8" x14ac:dyDescent="0.3">
      <c r="A20" s="7" t="s">
        <v>23</v>
      </c>
      <c r="B20" s="16">
        <f>'Historical Data'!D31</f>
        <v>87678909</v>
      </c>
      <c r="C20" s="16">
        <f>'Income Statement'!C16</f>
        <v>118366527.15000001</v>
      </c>
      <c r="D20" s="16">
        <f>'Income Statement'!D16</f>
        <v>159794811.65250003</v>
      </c>
      <c r="E20" s="16">
        <f>'Income Statement'!E16</f>
        <v>215722995.73087505</v>
      </c>
      <c r="F20" s="16">
        <f>'Income Statement'!F16</f>
        <v>291226044.23668134</v>
      </c>
      <c r="G20" s="16">
        <f>'Income Statement'!G16</f>
        <v>393155159.71951985</v>
      </c>
    </row>
    <row r="21" spans="1:8" x14ac:dyDescent="0.3">
      <c r="A21" s="7" t="s">
        <v>24</v>
      </c>
      <c r="B21" s="18">
        <f>'Historical Data'!D61</f>
        <v>0.12114483465520137</v>
      </c>
      <c r="C21" s="18">
        <f>'Income Statement'!C33</f>
        <v>0.42268162963181349</v>
      </c>
      <c r="D21" s="18">
        <f>'Income Statement'!D33</f>
        <v>3.7607903724818079E-2</v>
      </c>
      <c r="E21" s="18">
        <f>'Income Statement'!E33</f>
        <v>-6.9971829029678453E-2</v>
      </c>
      <c r="F21" s="18">
        <f>'Income Statement'!F33</f>
        <v>-0.20450202882272878</v>
      </c>
      <c r="G21" s="18">
        <f>'Income Statement'!G33</f>
        <v>-0.37340952059123961</v>
      </c>
    </row>
    <row r="23" spans="1:8" x14ac:dyDescent="0.3">
      <c r="A23" s="4" t="s">
        <v>25</v>
      </c>
      <c r="B23" s="4"/>
      <c r="C23" s="4"/>
      <c r="D23" s="4"/>
      <c r="E23" s="4"/>
      <c r="F23" s="4"/>
      <c r="G23" s="4"/>
      <c r="H23" s="4"/>
    </row>
    <row r="24" spans="1:8" x14ac:dyDescent="0.3">
      <c r="A24" s="15" t="s">
        <v>26</v>
      </c>
      <c r="B24" s="15" t="s">
        <v>14</v>
      </c>
      <c r="C24" s="15" t="s">
        <v>15</v>
      </c>
      <c r="D24" s="15" t="s">
        <v>16</v>
      </c>
      <c r="E24" s="15" t="s">
        <v>17</v>
      </c>
      <c r="F24" s="15" t="s">
        <v>18</v>
      </c>
      <c r="G24" s="15" t="s">
        <v>27</v>
      </c>
    </row>
    <row r="25" spans="1:8" x14ac:dyDescent="0.3">
      <c r="A25" s="7" t="s">
        <v>28</v>
      </c>
      <c r="B25" s="18">
        <f>Assumptions!B14</f>
        <v>0.1</v>
      </c>
      <c r="C25" s="18">
        <f>Assumptions!C14</f>
        <v>0.1</v>
      </c>
      <c r="D25" s="18">
        <f>Assumptions!D14</f>
        <v>0.09</v>
      </c>
      <c r="E25" s="18">
        <f>Assumptions!E14</f>
        <v>8.5000000000000006E-2</v>
      </c>
      <c r="F25" s="18">
        <f>Assumptions!F14</f>
        <v>0.08</v>
      </c>
      <c r="G25" s="18">
        <f>Assumptions!G14</f>
        <v>0.03</v>
      </c>
    </row>
    <row r="26" spans="1:8" x14ac:dyDescent="0.3">
      <c r="A26" s="9" t="s">
        <v>29</v>
      </c>
      <c r="B26" s="18">
        <f>Assumptions!B15</f>
        <v>0.15</v>
      </c>
      <c r="C26" s="18">
        <f>Assumptions!C15</f>
        <v>0.155</v>
      </c>
      <c r="D26" s="18">
        <f>Assumptions!D15</f>
        <v>0.16</v>
      </c>
      <c r="E26" s="18">
        <f>Assumptions!E15</f>
        <v>0.16500000000000001</v>
      </c>
      <c r="F26" s="18">
        <f>Assumptions!F15</f>
        <v>0.17</v>
      </c>
      <c r="G26" s="18">
        <f>Assumptions!G15</f>
        <v>0.17</v>
      </c>
    </row>
    <row r="27" spans="1:8" x14ac:dyDescent="0.3">
      <c r="A27" s="7" t="s">
        <v>30</v>
      </c>
      <c r="B27" s="18">
        <f>Assumptions!B16</f>
        <v>0.36299999999999999</v>
      </c>
      <c r="C27" s="18">
        <f>Assumptions!B16</f>
        <v>0.36299999999999999</v>
      </c>
      <c r="D27" s="18">
        <f>Assumptions!B16</f>
        <v>0.36299999999999999</v>
      </c>
      <c r="E27" s="18">
        <f>Assumptions!B16</f>
        <v>0.36299999999999999</v>
      </c>
      <c r="F27" s="18">
        <f>Assumptions!B16</f>
        <v>0.36299999999999999</v>
      </c>
      <c r="G27" s="18">
        <f>Assumptions!B16</f>
        <v>0.36299999999999999</v>
      </c>
    </row>
    <row r="28" spans="1:8" x14ac:dyDescent="0.3">
      <c r="A28" s="9" t="s">
        <v>31</v>
      </c>
      <c r="B28" s="19">
        <f>Assumptions!B33</f>
        <v>6.3850446770641806E-2</v>
      </c>
    </row>
    <row r="30" spans="1:8" x14ac:dyDescent="0.3">
      <c r="A30" s="4" t="s">
        <v>32</v>
      </c>
      <c r="B30" s="4"/>
      <c r="C30" s="4"/>
      <c r="D30" s="4"/>
      <c r="E30" s="4"/>
      <c r="F30" s="4"/>
      <c r="G30" s="4"/>
      <c r="H30" s="4"/>
    </row>
    <row r="31" spans="1:8" x14ac:dyDescent="0.3">
      <c r="A31" s="3" t="s">
        <v>33</v>
      </c>
      <c r="B31" s="3"/>
      <c r="C31" s="3"/>
      <c r="D31" s="3"/>
      <c r="E31" s="3"/>
      <c r="F31" s="3"/>
      <c r="G31" s="3"/>
      <c r="H31" s="3"/>
    </row>
    <row r="32" spans="1:8" x14ac:dyDescent="0.3">
      <c r="A32" s="15" t="s">
        <v>34</v>
      </c>
      <c r="B32" s="15" t="s">
        <v>35</v>
      </c>
      <c r="C32" s="15" t="s">
        <v>36</v>
      </c>
      <c r="D32" s="15" t="s">
        <v>37</v>
      </c>
      <c r="E32" s="15" t="s">
        <v>38</v>
      </c>
      <c r="F32" s="15" t="s">
        <v>39</v>
      </c>
    </row>
    <row r="33" spans="1:6" x14ac:dyDescent="0.3">
      <c r="A33" s="20">
        <v>7.0000000000000007E-2</v>
      </c>
      <c r="B33" s="21">
        <v>166.7</v>
      </c>
      <c r="C33" s="21">
        <v>138.84</v>
      </c>
      <c r="D33" s="21">
        <v>123.18</v>
      </c>
      <c r="E33" s="21">
        <v>104.03</v>
      </c>
      <c r="F33" s="21">
        <v>92.43</v>
      </c>
    </row>
    <row r="34" spans="1:6" x14ac:dyDescent="0.3">
      <c r="A34" s="20">
        <v>0.09</v>
      </c>
      <c r="B34" s="21">
        <v>182.09</v>
      </c>
      <c r="C34" s="22">
        <v>151.54</v>
      </c>
      <c r="D34" s="22">
        <v>134.36000000000001</v>
      </c>
      <c r="E34" s="21">
        <v>113.36</v>
      </c>
      <c r="F34" s="21">
        <v>100.64</v>
      </c>
    </row>
    <row r="35" spans="1:6" x14ac:dyDescent="0.3">
      <c r="A35" s="20">
        <v>0.11</v>
      </c>
      <c r="B35" s="21">
        <v>198.63</v>
      </c>
      <c r="C35" s="21">
        <v>165.18</v>
      </c>
      <c r="D35" s="21">
        <v>146.38</v>
      </c>
      <c r="E35" s="21">
        <v>123.38</v>
      </c>
      <c r="F35" s="21">
        <v>109.46</v>
      </c>
    </row>
  </sheetData>
  <mergeCells count="7">
    <mergeCell ref="A30:H30"/>
    <mergeCell ref="A31:H31"/>
    <mergeCell ref="A1:H1"/>
    <mergeCell ref="A2:H2"/>
    <mergeCell ref="A4:H4"/>
    <mergeCell ref="A14:H14"/>
    <mergeCell ref="A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"/>
  <sheetViews>
    <sheetView showGridLines="0" zoomScaleNormal="100" workbookViewId="0">
      <selection sqref="A1:XFD1048576"/>
    </sheetView>
  </sheetViews>
  <sheetFormatPr defaultColWidth="8.6640625" defaultRowHeight="14.4" x14ac:dyDescent="0.3"/>
  <cols>
    <col min="1" max="1" width="62.6640625" bestFit="1" customWidth="1"/>
    <col min="2" max="2" width="23.77734375" bestFit="1" customWidth="1"/>
    <col min="3" max="6" width="6.21875" bestFit="1" customWidth="1"/>
    <col min="7" max="7" width="8.44140625" bestFit="1" customWidth="1"/>
    <col min="8" max="8" width="3" customWidth="1"/>
  </cols>
  <sheetData>
    <row r="1" spans="1:8" ht="17.399999999999999" x14ac:dyDescent="0.3">
      <c r="A1" s="6" t="s">
        <v>40</v>
      </c>
      <c r="B1" s="6"/>
      <c r="C1" s="6"/>
      <c r="D1" s="6"/>
      <c r="E1" s="6"/>
      <c r="F1" s="6"/>
      <c r="G1" s="6"/>
      <c r="H1" s="6"/>
    </row>
    <row r="2" spans="1:8" x14ac:dyDescent="0.3">
      <c r="A2" s="5" t="s">
        <v>41</v>
      </c>
      <c r="B2" s="5"/>
      <c r="C2" s="5"/>
      <c r="D2" s="5"/>
      <c r="E2" s="5"/>
      <c r="F2" s="5"/>
      <c r="G2" s="5"/>
      <c r="H2" s="5"/>
    </row>
    <row r="4" spans="1:8" x14ac:dyDescent="0.3">
      <c r="A4" s="4" t="s">
        <v>42</v>
      </c>
      <c r="B4" s="4"/>
    </row>
    <row r="5" spans="1:8" x14ac:dyDescent="0.3">
      <c r="A5" s="7" t="s">
        <v>43</v>
      </c>
      <c r="B5" s="23" t="s">
        <v>44</v>
      </c>
    </row>
    <row r="6" spans="1:8" x14ac:dyDescent="0.3">
      <c r="A6" s="7" t="s">
        <v>45</v>
      </c>
      <c r="B6" s="23" t="s">
        <v>46</v>
      </c>
    </row>
    <row r="7" spans="1:8" x14ac:dyDescent="0.3">
      <c r="A7" s="7" t="s">
        <v>47</v>
      </c>
      <c r="B7" s="23" t="s">
        <v>48</v>
      </c>
    </row>
    <row r="8" spans="1:8" x14ac:dyDescent="0.3">
      <c r="A8" s="7" t="s">
        <v>49</v>
      </c>
      <c r="B8" s="23">
        <v>5</v>
      </c>
    </row>
    <row r="9" spans="1:8" x14ac:dyDescent="0.3">
      <c r="A9" s="7" t="s">
        <v>50</v>
      </c>
      <c r="B9" s="23" t="s">
        <v>51</v>
      </c>
    </row>
    <row r="10" spans="1:8" x14ac:dyDescent="0.3">
      <c r="A10" s="7" t="s">
        <v>52</v>
      </c>
      <c r="B10" s="23" t="s">
        <v>48</v>
      </c>
    </row>
    <row r="12" spans="1:8" x14ac:dyDescent="0.3">
      <c r="A12" s="4" t="s">
        <v>53</v>
      </c>
      <c r="B12" s="4"/>
      <c r="C12" s="4"/>
      <c r="D12" s="4"/>
      <c r="E12" s="4"/>
      <c r="F12" s="4"/>
      <c r="G12" s="4"/>
      <c r="H12" s="4"/>
    </row>
    <row r="13" spans="1:8" x14ac:dyDescent="0.3">
      <c r="A13" s="15" t="s">
        <v>26</v>
      </c>
      <c r="B13" s="15" t="s">
        <v>14</v>
      </c>
      <c r="C13" s="15" t="s">
        <v>15</v>
      </c>
      <c r="D13" s="15" t="s">
        <v>16</v>
      </c>
      <c r="E13" s="15" t="s">
        <v>17</v>
      </c>
      <c r="F13" s="15" t="s">
        <v>18</v>
      </c>
      <c r="G13" s="15" t="s">
        <v>27</v>
      </c>
    </row>
    <row r="14" spans="1:8" x14ac:dyDescent="0.3">
      <c r="A14" s="9" t="s">
        <v>54</v>
      </c>
      <c r="B14" s="24">
        <v>0.1</v>
      </c>
      <c r="C14" s="24">
        <v>0.1</v>
      </c>
      <c r="D14" s="24">
        <v>0.09</v>
      </c>
      <c r="E14" s="24">
        <v>8.5000000000000006E-2</v>
      </c>
      <c r="F14" s="24">
        <v>0.08</v>
      </c>
      <c r="G14" s="24">
        <v>0.03</v>
      </c>
    </row>
    <row r="15" spans="1:8" x14ac:dyDescent="0.3">
      <c r="A15" s="7" t="s">
        <v>29</v>
      </c>
      <c r="B15" s="25">
        <v>0.15</v>
      </c>
      <c r="C15" s="25">
        <v>0.155</v>
      </c>
      <c r="D15" s="25">
        <v>0.16</v>
      </c>
      <c r="E15" s="25">
        <v>0.16500000000000001</v>
      </c>
      <c r="F15" s="25">
        <v>0.17</v>
      </c>
      <c r="G15" s="25">
        <v>0.17</v>
      </c>
    </row>
    <row r="16" spans="1:8" x14ac:dyDescent="0.3">
      <c r="A16" s="9" t="s">
        <v>30</v>
      </c>
      <c r="B16" s="24">
        <v>0.36299999999999999</v>
      </c>
      <c r="C16" s="24">
        <v>0.36299999999999999</v>
      </c>
      <c r="D16" s="24">
        <v>0.36299999999999999</v>
      </c>
      <c r="E16" s="24">
        <v>0.36299999999999999</v>
      </c>
      <c r="F16" s="24">
        <v>0.36299999999999999</v>
      </c>
      <c r="G16" s="24">
        <v>0.36299999999999999</v>
      </c>
    </row>
    <row r="17" spans="1:7" x14ac:dyDescent="0.3">
      <c r="A17" s="7" t="s">
        <v>55</v>
      </c>
      <c r="B17" s="25">
        <v>2.5000000000000001E-2</v>
      </c>
      <c r="C17" s="25">
        <v>2.5000000000000001E-2</v>
      </c>
      <c r="D17" s="25">
        <v>2.5000000000000001E-2</v>
      </c>
      <c r="E17" s="25">
        <v>2.5000000000000001E-2</v>
      </c>
      <c r="F17" s="25">
        <v>2.5000000000000001E-2</v>
      </c>
      <c r="G17" s="25">
        <v>2.5000000000000001E-2</v>
      </c>
    </row>
    <row r="18" spans="1:7" x14ac:dyDescent="0.3">
      <c r="A18" s="9" t="s">
        <v>56</v>
      </c>
      <c r="B18" s="24">
        <v>5.0000000000000001E-3</v>
      </c>
      <c r="C18" s="24">
        <v>5.0000000000000001E-3</v>
      </c>
      <c r="D18" s="24">
        <v>5.0000000000000001E-3</v>
      </c>
      <c r="E18" s="24">
        <v>5.0000000000000001E-3</v>
      </c>
      <c r="F18" s="24">
        <v>5.0000000000000001E-3</v>
      </c>
      <c r="G18" s="24">
        <v>5.0000000000000001E-3</v>
      </c>
    </row>
    <row r="20" spans="1:7" x14ac:dyDescent="0.3">
      <c r="A20" s="4" t="s">
        <v>57</v>
      </c>
      <c r="B20" s="4"/>
    </row>
    <row r="21" spans="1:7" x14ac:dyDescent="0.3">
      <c r="A21" s="7" t="s">
        <v>58</v>
      </c>
      <c r="B21" s="26">
        <v>4.4999999999999998E-2</v>
      </c>
    </row>
    <row r="22" spans="1:7" x14ac:dyDescent="0.3">
      <c r="A22" s="9" t="s">
        <v>59</v>
      </c>
      <c r="B22" s="27">
        <v>0.06</v>
      </c>
    </row>
    <row r="23" spans="1:7" x14ac:dyDescent="0.3">
      <c r="A23" s="7" t="s">
        <v>60</v>
      </c>
      <c r="B23" s="26">
        <v>0.95</v>
      </c>
    </row>
    <row r="24" spans="1:7" x14ac:dyDescent="0.3">
      <c r="A24" s="9" t="s">
        <v>61</v>
      </c>
      <c r="B24" s="28">
        <f>B21+B23*B22</f>
        <v>0.10199999999999999</v>
      </c>
    </row>
    <row r="25" spans="1:7" x14ac:dyDescent="0.3">
      <c r="A25" s="7" t="s">
        <v>62</v>
      </c>
      <c r="B25" s="26">
        <v>6.5000000000000002E-2</v>
      </c>
    </row>
    <row r="26" spans="1:7" x14ac:dyDescent="0.3">
      <c r="A26" s="9" t="s">
        <v>30</v>
      </c>
      <c r="B26" s="28">
        <f>B16</f>
        <v>0.36299999999999999</v>
      </c>
    </row>
    <row r="27" spans="1:7" x14ac:dyDescent="0.3">
      <c r="A27" s="7" t="s">
        <v>63</v>
      </c>
      <c r="B27" s="29">
        <f>B25*(1-B26)</f>
        <v>4.1405000000000004E-2</v>
      </c>
    </row>
    <row r="28" spans="1:7" x14ac:dyDescent="0.3">
      <c r="A28" s="9" t="s">
        <v>64</v>
      </c>
      <c r="B28" s="30">
        <v>20453772</v>
      </c>
    </row>
    <row r="29" spans="1:7" x14ac:dyDescent="0.3">
      <c r="A29" s="7" t="s">
        <v>65</v>
      </c>
      <c r="B29" s="31">
        <v>12034061</v>
      </c>
    </row>
    <row r="30" spans="1:7" x14ac:dyDescent="0.3">
      <c r="A30" s="9" t="s">
        <v>66</v>
      </c>
      <c r="B30" s="32">
        <f>B28+B29</f>
        <v>32487833</v>
      </c>
    </row>
    <row r="31" spans="1:7" x14ac:dyDescent="0.3">
      <c r="A31" s="7" t="s">
        <v>67</v>
      </c>
      <c r="B31" s="29">
        <f>B28/B30</f>
        <v>0.62958252709560525</v>
      </c>
    </row>
    <row r="32" spans="1:7" x14ac:dyDescent="0.3">
      <c r="A32" s="9" t="s">
        <v>68</v>
      </c>
      <c r="B32" s="28">
        <f>B29/B30</f>
        <v>0.3704174729043947</v>
      </c>
    </row>
    <row r="33" spans="1:2" x14ac:dyDescent="0.3">
      <c r="A33" s="7" t="s">
        <v>31</v>
      </c>
      <c r="B33" s="33">
        <f>(B32*B24)+(B31*B27)</f>
        <v>6.3850446770641806E-2</v>
      </c>
    </row>
    <row r="35" spans="1:2" x14ac:dyDescent="0.3">
      <c r="A35" s="4" t="s">
        <v>69</v>
      </c>
      <c r="B35" s="4"/>
    </row>
    <row r="36" spans="1:2" x14ac:dyDescent="0.3">
      <c r="A36" s="9" t="s">
        <v>70</v>
      </c>
      <c r="B36" s="30">
        <v>87678909</v>
      </c>
    </row>
    <row r="37" spans="1:2" x14ac:dyDescent="0.3">
      <c r="A37" s="7" t="s">
        <v>71</v>
      </c>
      <c r="B37" s="31">
        <v>30721516</v>
      </c>
    </row>
    <row r="38" spans="1:2" x14ac:dyDescent="0.3">
      <c r="A38" s="9" t="s">
        <v>72</v>
      </c>
      <c r="B38" s="24">
        <v>0.35</v>
      </c>
    </row>
    <row r="39" spans="1:2" x14ac:dyDescent="0.3">
      <c r="A39" s="7" t="s">
        <v>73</v>
      </c>
      <c r="B39" s="25">
        <v>0.09</v>
      </c>
    </row>
    <row r="40" spans="1:2" x14ac:dyDescent="0.3">
      <c r="A40" s="9" t="s">
        <v>74</v>
      </c>
      <c r="B40" s="24">
        <v>0.35</v>
      </c>
    </row>
    <row r="41" spans="1:2" x14ac:dyDescent="0.3">
      <c r="A41" s="7" t="s">
        <v>75</v>
      </c>
      <c r="B41" s="25">
        <v>0.34499999999999997</v>
      </c>
    </row>
    <row r="42" spans="1:2" x14ac:dyDescent="0.3">
      <c r="A42" s="9" t="s">
        <v>76</v>
      </c>
      <c r="B42" s="24">
        <v>0.34</v>
      </c>
    </row>
    <row r="43" spans="1:2" x14ac:dyDescent="0.3">
      <c r="A43" s="7" t="s">
        <v>77</v>
      </c>
      <c r="B43" s="25">
        <v>0.33500000000000002</v>
      </c>
    </row>
    <row r="44" spans="1:2" x14ac:dyDescent="0.3">
      <c r="A44" s="9" t="s">
        <v>78</v>
      </c>
      <c r="B44" s="24">
        <v>0.33</v>
      </c>
    </row>
    <row r="46" spans="1:2" x14ac:dyDescent="0.3">
      <c r="A46" s="4" t="s">
        <v>79</v>
      </c>
      <c r="B46" s="4"/>
    </row>
    <row r="47" spans="1:2" x14ac:dyDescent="0.3">
      <c r="A47" s="7" t="s">
        <v>80</v>
      </c>
      <c r="B47" s="31">
        <v>144319559</v>
      </c>
    </row>
    <row r="48" spans="1:2" x14ac:dyDescent="0.3">
      <c r="A48" s="7" t="s">
        <v>81</v>
      </c>
      <c r="B48" s="25">
        <v>5.5E-2</v>
      </c>
    </row>
    <row r="49" spans="1:2" x14ac:dyDescent="0.3">
      <c r="A49" s="7" t="s">
        <v>82</v>
      </c>
      <c r="B49" s="25">
        <v>0.08</v>
      </c>
    </row>
    <row r="51" spans="1:2" x14ac:dyDescent="0.3">
      <c r="A51" s="4" t="s">
        <v>83</v>
      </c>
      <c r="B51" s="4"/>
    </row>
    <row r="52" spans="1:2" x14ac:dyDescent="0.3">
      <c r="A52" s="7" t="s">
        <v>84</v>
      </c>
      <c r="B52" s="26">
        <v>0.05</v>
      </c>
    </row>
    <row r="53" spans="1:2" x14ac:dyDescent="0.3">
      <c r="A53" s="7" t="s">
        <v>85</v>
      </c>
      <c r="B53" s="34">
        <f>B33</f>
        <v>6.3850446770641806E-2</v>
      </c>
    </row>
    <row r="54" spans="1:2" x14ac:dyDescent="0.3">
      <c r="A54" s="7" t="s">
        <v>86</v>
      </c>
      <c r="B54" s="26">
        <v>0.08</v>
      </c>
    </row>
    <row r="55" spans="1:2" x14ac:dyDescent="0.3">
      <c r="A55" s="7" t="s">
        <v>87</v>
      </c>
      <c r="B55" s="26">
        <v>0.06</v>
      </c>
    </row>
    <row r="56" spans="1:2" x14ac:dyDescent="0.3">
      <c r="A56" s="7" t="s">
        <v>88</v>
      </c>
      <c r="B56" s="26">
        <v>0.09</v>
      </c>
    </row>
    <row r="57" spans="1:2" x14ac:dyDescent="0.3">
      <c r="A57" s="7" t="s">
        <v>89</v>
      </c>
      <c r="B57" s="26">
        <v>0.12</v>
      </c>
    </row>
    <row r="58" spans="1:2" x14ac:dyDescent="0.3">
      <c r="A58" s="7" t="s">
        <v>90</v>
      </c>
      <c r="B58" s="34">
        <f>Assumptions!G14</f>
        <v>0.03</v>
      </c>
    </row>
    <row r="59" spans="1:2" x14ac:dyDescent="0.3">
      <c r="A59" s="35" t="s">
        <v>91</v>
      </c>
    </row>
  </sheetData>
  <mergeCells count="8">
    <mergeCell ref="A35:B35"/>
    <mergeCell ref="A46:B46"/>
    <mergeCell ref="A51:B51"/>
    <mergeCell ref="A1:H1"/>
    <mergeCell ref="A2:H2"/>
    <mergeCell ref="A4:B4"/>
    <mergeCell ref="A12:H12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showGridLines="0" zoomScaleNormal="100" workbookViewId="0">
      <selection sqref="A1:D1"/>
    </sheetView>
  </sheetViews>
  <sheetFormatPr defaultColWidth="8.6640625" defaultRowHeight="14.4" x14ac:dyDescent="0.3"/>
  <cols>
    <col min="1" max="1" width="45" customWidth="1"/>
    <col min="2" max="4" width="18" customWidth="1"/>
  </cols>
  <sheetData>
    <row r="1" spans="1:4" ht="32.85" customHeight="1" x14ac:dyDescent="0.3">
      <c r="A1" s="6" t="s">
        <v>92</v>
      </c>
      <c r="B1" s="6"/>
      <c r="C1" s="6"/>
      <c r="D1" s="6"/>
    </row>
    <row r="2" spans="1:4" ht="15" customHeight="1" x14ac:dyDescent="0.3">
      <c r="A2" s="5" t="s">
        <v>93</v>
      </c>
      <c r="B2" s="5"/>
      <c r="C2" s="5"/>
      <c r="D2" s="5"/>
    </row>
    <row r="4" spans="1:4" x14ac:dyDescent="0.3">
      <c r="A4" s="36" t="s">
        <v>94</v>
      </c>
      <c r="B4" s="36" t="s">
        <v>95</v>
      </c>
      <c r="C4" s="36" t="s">
        <v>96</v>
      </c>
      <c r="D4" s="36" t="s">
        <v>97</v>
      </c>
    </row>
    <row r="5" spans="1:4" x14ac:dyDescent="0.3">
      <c r="A5" s="4" t="s">
        <v>98</v>
      </c>
      <c r="B5" s="4"/>
      <c r="C5" s="4"/>
      <c r="D5" s="4"/>
    </row>
    <row r="6" spans="1:4" x14ac:dyDescent="0.3">
      <c r="A6" s="37" t="s">
        <v>99</v>
      </c>
      <c r="B6" s="38" t="s">
        <v>100</v>
      </c>
      <c r="C6" s="38" t="s">
        <v>100</v>
      </c>
      <c r="D6" s="39">
        <v>30220364</v>
      </c>
    </row>
    <row r="7" spans="1:4" x14ac:dyDescent="0.3">
      <c r="A7" s="7" t="s">
        <v>101</v>
      </c>
      <c r="B7" s="40" t="s">
        <v>100</v>
      </c>
      <c r="C7" s="40" t="s">
        <v>100</v>
      </c>
      <c r="D7" s="31">
        <v>24467482</v>
      </c>
    </row>
    <row r="8" spans="1:4" x14ac:dyDescent="0.3">
      <c r="A8" s="7" t="s">
        <v>102</v>
      </c>
      <c r="B8" s="40" t="s">
        <v>100</v>
      </c>
      <c r="C8" s="40" t="s">
        <v>100</v>
      </c>
      <c r="D8" s="31">
        <v>2969947</v>
      </c>
    </row>
    <row r="9" spans="1:4" x14ac:dyDescent="0.3">
      <c r="A9" s="7" t="s">
        <v>103</v>
      </c>
      <c r="B9" s="40" t="s">
        <v>100</v>
      </c>
      <c r="C9" s="40" t="s">
        <v>100</v>
      </c>
      <c r="D9" s="31">
        <v>2782935</v>
      </c>
    </row>
    <row r="10" spans="1:4" x14ac:dyDescent="0.3">
      <c r="A10" s="37" t="s">
        <v>104</v>
      </c>
      <c r="B10" s="38" t="s">
        <v>100</v>
      </c>
      <c r="C10" s="38" t="s">
        <v>100</v>
      </c>
      <c r="D10" s="39">
        <v>-9474596</v>
      </c>
    </row>
    <row r="11" spans="1:4" x14ac:dyDescent="0.3">
      <c r="A11" s="7" t="s">
        <v>105</v>
      </c>
      <c r="B11" s="40" t="s">
        <v>100</v>
      </c>
      <c r="C11" s="40" t="s">
        <v>100</v>
      </c>
      <c r="D11" s="31">
        <v>-8940645</v>
      </c>
    </row>
    <row r="12" spans="1:4" x14ac:dyDescent="0.3">
      <c r="A12" s="7" t="s">
        <v>106</v>
      </c>
      <c r="B12" s="40" t="s">
        <v>100</v>
      </c>
      <c r="C12" s="40" t="s">
        <v>100</v>
      </c>
      <c r="D12" s="31">
        <v>-533951</v>
      </c>
    </row>
    <row r="13" spans="1:4" x14ac:dyDescent="0.3">
      <c r="A13" s="37" t="s">
        <v>107</v>
      </c>
      <c r="B13" s="38" t="s">
        <v>100</v>
      </c>
      <c r="C13" s="38" t="s">
        <v>100</v>
      </c>
      <c r="D13" s="39">
        <v>20745768</v>
      </c>
    </row>
    <row r="14" spans="1:4" x14ac:dyDescent="0.3">
      <c r="A14" s="37" t="s">
        <v>108</v>
      </c>
      <c r="B14" s="38" t="s">
        <v>100</v>
      </c>
      <c r="C14" s="38" t="s">
        <v>100</v>
      </c>
      <c r="D14" s="39">
        <v>-8459601</v>
      </c>
    </row>
    <row r="15" spans="1:4" x14ac:dyDescent="0.3">
      <c r="A15" s="37" t="s">
        <v>109</v>
      </c>
      <c r="B15" s="38" t="s">
        <v>100</v>
      </c>
      <c r="C15" s="38" t="s">
        <v>100</v>
      </c>
      <c r="D15" s="39">
        <v>12286167</v>
      </c>
    </row>
    <row r="16" spans="1:4" x14ac:dyDescent="0.3">
      <c r="A16" s="37" t="s">
        <v>110</v>
      </c>
      <c r="B16" s="38" t="s">
        <v>100</v>
      </c>
      <c r="C16" s="38" t="s">
        <v>100</v>
      </c>
      <c r="D16" s="39">
        <v>-3661041</v>
      </c>
    </row>
    <row r="17" spans="1:4" x14ac:dyDescent="0.3">
      <c r="A17" s="7" t="s">
        <v>111</v>
      </c>
      <c r="B17" s="40" t="s">
        <v>100</v>
      </c>
      <c r="C17" s="40" t="s">
        <v>100</v>
      </c>
      <c r="D17" s="31">
        <v>-854475</v>
      </c>
    </row>
    <row r="18" spans="1:4" x14ac:dyDescent="0.3">
      <c r="A18" s="7" t="s">
        <v>112</v>
      </c>
      <c r="B18" s="40" t="s">
        <v>100</v>
      </c>
      <c r="C18" s="40" t="s">
        <v>100</v>
      </c>
      <c r="D18" s="31">
        <v>-1069342</v>
      </c>
    </row>
    <row r="19" spans="1:4" x14ac:dyDescent="0.3">
      <c r="A19" s="7" t="s">
        <v>113</v>
      </c>
      <c r="B19" s="40" t="s">
        <v>100</v>
      </c>
      <c r="C19" s="40" t="s">
        <v>100</v>
      </c>
      <c r="D19" s="31">
        <v>-1515170</v>
      </c>
    </row>
    <row r="20" spans="1:4" x14ac:dyDescent="0.3">
      <c r="A20" s="7" t="s">
        <v>114</v>
      </c>
      <c r="B20" s="40" t="s">
        <v>100</v>
      </c>
      <c r="C20" s="40" t="s">
        <v>100</v>
      </c>
      <c r="D20" s="31">
        <v>58156</v>
      </c>
    </row>
    <row r="21" spans="1:4" x14ac:dyDescent="0.3">
      <c r="A21" s="7" t="s">
        <v>115</v>
      </c>
      <c r="B21" s="40" t="s">
        <v>100</v>
      </c>
      <c r="C21" s="40" t="s">
        <v>100</v>
      </c>
      <c r="D21" s="31">
        <v>317814</v>
      </c>
    </row>
    <row r="22" spans="1:4" x14ac:dyDescent="0.3">
      <c r="A22" s="7" t="s">
        <v>116</v>
      </c>
      <c r="B22" s="40" t="s">
        <v>100</v>
      </c>
      <c r="C22" s="40" t="s">
        <v>100</v>
      </c>
      <c r="D22" s="31">
        <v>-595896</v>
      </c>
    </row>
    <row r="23" spans="1:4" x14ac:dyDescent="0.3">
      <c r="A23" s="37" t="s">
        <v>117</v>
      </c>
      <c r="B23" s="38" t="s">
        <v>100</v>
      </c>
      <c r="C23" s="38" t="s">
        <v>100</v>
      </c>
      <c r="D23" s="39">
        <v>8625126</v>
      </c>
    </row>
    <row r="24" spans="1:4" x14ac:dyDescent="0.3">
      <c r="A24" s="37" t="s">
        <v>118</v>
      </c>
      <c r="B24" s="38" t="s">
        <v>100</v>
      </c>
      <c r="C24" s="38" t="s">
        <v>100</v>
      </c>
      <c r="D24" s="39">
        <v>-3120548</v>
      </c>
    </row>
    <row r="25" spans="1:4" x14ac:dyDescent="0.3">
      <c r="A25" s="37" t="s">
        <v>119</v>
      </c>
      <c r="B25" s="38" t="s">
        <v>100</v>
      </c>
      <c r="C25" s="38" t="s">
        <v>100</v>
      </c>
      <c r="D25" s="39">
        <v>5504578</v>
      </c>
    </row>
    <row r="27" spans="1:4" x14ac:dyDescent="0.3">
      <c r="A27" s="4" t="s">
        <v>120</v>
      </c>
      <c r="B27" s="4"/>
      <c r="C27" s="4"/>
      <c r="D27" s="4"/>
    </row>
    <row r="28" spans="1:4" x14ac:dyDescent="0.3">
      <c r="A28" s="37" t="s">
        <v>121</v>
      </c>
      <c r="B28" s="38" t="s">
        <v>100</v>
      </c>
      <c r="C28" s="38" t="s">
        <v>100</v>
      </c>
      <c r="D28" s="39">
        <v>191927308</v>
      </c>
    </row>
    <row r="29" spans="1:4" x14ac:dyDescent="0.3">
      <c r="A29" s="7" t="s">
        <v>122</v>
      </c>
      <c r="B29" s="40" t="s">
        <v>100</v>
      </c>
      <c r="C29" s="40" t="s">
        <v>100</v>
      </c>
      <c r="D29" s="31">
        <v>26739469</v>
      </c>
    </row>
    <row r="30" spans="1:4" x14ac:dyDescent="0.3">
      <c r="A30" s="7" t="s">
        <v>123</v>
      </c>
      <c r="B30" s="40" t="s">
        <v>100</v>
      </c>
      <c r="C30" s="40" t="s">
        <v>100</v>
      </c>
      <c r="D30" s="31">
        <v>52607498</v>
      </c>
    </row>
    <row r="31" spans="1:4" x14ac:dyDescent="0.3">
      <c r="A31" s="7" t="s">
        <v>23</v>
      </c>
      <c r="B31" s="40" t="s">
        <v>100</v>
      </c>
      <c r="C31" s="40" t="s">
        <v>100</v>
      </c>
      <c r="D31" s="31">
        <v>87678909</v>
      </c>
    </row>
    <row r="32" spans="1:4" x14ac:dyDescent="0.3">
      <c r="A32" s="7" t="s">
        <v>124</v>
      </c>
      <c r="B32" s="40" t="s">
        <v>100</v>
      </c>
      <c r="C32" s="40" t="s">
        <v>100</v>
      </c>
      <c r="D32" s="31">
        <v>-30721516</v>
      </c>
    </row>
    <row r="33" spans="1:4" x14ac:dyDescent="0.3">
      <c r="A33" s="7" t="s">
        <v>125</v>
      </c>
      <c r="B33" s="40" t="s">
        <v>100</v>
      </c>
      <c r="C33" s="40" t="s">
        <v>100</v>
      </c>
      <c r="D33" s="31">
        <v>56957393</v>
      </c>
    </row>
    <row r="34" spans="1:4" x14ac:dyDescent="0.3">
      <c r="A34" s="7" t="s">
        <v>126</v>
      </c>
      <c r="B34" s="40" t="s">
        <v>100</v>
      </c>
      <c r="C34" s="40" t="s">
        <v>100</v>
      </c>
      <c r="D34" s="31">
        <v>24817555</v>
      </c>
    </row>
    <row r="35" spans="1:4" x14ac:dyDescent="0.3">
      <c r="A35" s="37" t="s">
        <v>127</v>
      </c>
      <c r="B35" s="38" t="s">
        <v>100</v>
      </c>
      <c r="C35" s="38" t="s">
        <v>100</v>
      </c>
      <c r="D35" s="39">
        <v>179893247</v>
      </c>
    </row>
    <row r="36" spans="1:4" x14ac:dyDescent="0.3">
      <c r="A36" s="7" t="s">
        <v>128</v>
      </c>
      <c r="B36" s="40" t="s">
        <v>100</v>
      </c>
      <c r="C36" s="40" t="s">
        <v>100</v>
      </c>
      <c r="D36" s="31">
        <v>144319559</v>
      </c>
    </row>
    <row r="37" spans="1:4" x14ac:dyDescent="0.3">
      <c r="A37" s="7" t="s">
        <v>129</v>
      </c>
      <c r="B37" s="40" t="s">
        <v>100</v>
      </c>
      <c r="C37" s="40" t="s">
        <v>100</v>
      </c>
      <c r="D37" s="31">
        <v>14581675</v>
      </c>
    </row>
    <row r="38" spans="1:4" x14ac:dyDescent="0.3">
      <c r="A38" s="7" t="s">
        <v>130</v>
      </c>
      <c r="B38" s="40" t="s">
        <v>100</v>
      </c>
      <c r="C38" s="40" t="s">
        <v>100</v>
      </c>
      <c r="D38" s="31">
        <v>5872097</v>
      </c>
    </row>
    <row r="39" spans="1:4" x14ac:dyDescent="0.3">
      <c r="A39" s="7" t="s">
        <v>131</v>
      </c>
      <c r="B39" s="40" t="s">
        <v>100</v>
      </c>
      <c r="C39" s="40" t="s">
        <v>100</v>
      </c>
      <c r="D39" s="31">
        <v>8787140</v>
      </c>
    </row>
    <row r="40" spans="1:4" x14ac:dyDescent="0.3">
      <c r="A40" s="37" t="s">
        <v>132</v>
      </c>
      <c r="B40" s="38" t="s">
        <v>100</v>
      </c>
      <c r="C40" s="38" t="s">
        <v>100</v>
      </c>
      <c r="D40" s="39">
        <v>12034061</v>
      </c>
    </row>
    <row r="41" spans="1:4" x14ac:dyDescent="0.3">
      <c r="A41" s="7" t="s">
        <v>133</v>
      </c>
      <c r="B41" s="40" t="s">
        <v>100</v>
      </c>
      <c r="C41" s="40" t="s">
        <v>100</v>
      </c>
      <c r="D41" s="31">
        <v>5303748</v>
      </c>
    </row>
    <row r="42" spans="1:4" x14ac:dyDescent="0.3">
      <c r="A42" s="7" t="s">
        <v>134</v>
      </c>
      <c r="B42" s="40" t="s">
        <v>100</v>
      </c>
      <c r="C42" s="40" t="s">
        <v>100</v>
      </c>
      <c r="D42" s="31">
        <v>2919547</v>
      </c>
    </row>
    <row r="43" spans="1:4" x14ac:dyDescent="0.3">
      <c r="A43" s="7" t="s">
        <v>135</v>
      </c>
      <c r="B43" s="40" t="s">
        <v>100</v>
      </c>
      <c r="C43" s="40" t="s">
        <v>100</v>
      </c>
      <c r="D43" s="31">
        <v>3586630</v>
      </c>
    </row>
    <row r="45" spans="1:4" x14ac:dyDescent="0.3">
      <c r="A45" s="4" t="s">
        <v>136</v>
      </c>
      <c r="B45" s="4"/>
      <c r="C45" s="4"/>
      <c r="D45" s="4"/>
    </row>
    <row r="46" spans="1:4" x14ac:dyDescent="0.3">
      <c r="A46" s="37" t="s">
        <v>119</v>
      </c>
      <c r="B46" s="38" t="s">
        <v>100</v>
      </c>
      <c r="C46" s="38" t="s">
        <v>100</v>
      </c>
      <c r="D46" s="39">
        <v>5504578</v>
      </c>
    </row>
    <row r="47" spans="1:4" x14ac:dyDescent="0.3">
      <c r="A47" s="7" t="s">
        <v>137</v>
      </c>
      <c r="B47" s="40" t="s">
        <v>100</v>
      </c>
      <c r="C47" s="40" t="s">
        <v>100</v>
      </c>
      <c r="D47" s="31">
        <v>10301739</v>
      </c>
    </row>
    <row r="48" spans="1:4" x14ac:dyDescent="0.3">
      <c r="A48" s="7" t="s">
        <v>138</v>
      </c>
      <c r="B48" s="40" t="s">
        <v>100</v>
      </c>
      <c r="C48" s="40" t="s">
        <v>100</v>
      </c>
      <c r="D48" s="31">
        <v>16024</v>
      </c>
    </row>
    <row r="49" spans="1:4" x14ac:dyDescent="0.3">
      <c r="A49" s="7" t="s">
        <v>139</v>
      </c>
      <c r="B49" s="40" t="s">
        <v>100</v>
      </c>
      <c r="C49" s="40" t="s">
        <v>100</v>
      </c>
      <c r="D49" s="31">
        <v>-50244</v>
      </c>
    </row>
    <row r="50" spans="1:4" x14ac:dyDescent="0.3">
      <c r="A50" s="37" t="s">
        <v>140</v>
      </c>
      <c r="B50" s="38" t="s">
        <v>100</v>
      </c>
      <c r="C50" s="38" t="s">
        <v>100</v>
      </c>
      <c r="D50" s="39">
        <v>2957714</v>
      </c>
    </row>
    <row r="51" spans="1:4" x14ac:dyDescent="0.3">
      <c r="A51" s="7" t="s">
        <v>141</v>
      </c>
      <c r="B51" s="40" t="s">
        <v>100</v>
      </c>
      <c r="C51" s="40" t="s">
        <v>100</v>
      </c>
      <c r="D51" s="31">
        <v>-64198</v>
      </c>
    </row>
    <row r="52" spans="1:4" x14ac:dyDescent="0.3">
      <c r="A52" s="7" t="s">
        <v>142</v>
      </c>
      <c r="B52" s="40" t="s">
        <v>100</v>
      </c>
      <c r="C52" s="40" t="s">
        <v>100</v>
      </c>
      <c r="D52" s="31">
        <v>820321</v>
      </c>
    </row>
    <row r="53" spans="1:4" x14ac:dyDescent="0.3">
      <c r="A53" s="37" t="s">
        <v>143</v>
      </c>
      <c r="B53" s="38" t="s">
        <v>100</v>
      </c>
      <c r="C53" s="38" t="s">
        <v>100</v>
      </c>
      <c r="D53" s="39">
        <v>3713837</v>
      </c>
    </row>
    <row r="55" spans="1:4" x14ac:dyDescent="0.3">
      <c r="A55" s="4" t="s">
        <v>144</v>
      </c>
      <c r="B55" s="4"/>
      <c r="C55" s="4"/>
      <c r="D55" s="4"/>
    </row>
    <row r="56" spans="1:4" x14ac:dyDescent="0.3">
      <c r="A56" s="7" t="s">
        <v>145</v>
      </c>
      <c r="C56" s="40" t="s">
        <v>146</v>
      </c>
      <c r="D56" s="41">
        <f>D28/D28</f>
        <v>1</v>
      </c>
    </row>
    <row r="57" spans="1:4" x14ac:dyDescent="0.3">
      <c r="A57" s="7" t="s">
        <v>147</v>
      </c>
      <c r="C57" s="40" t="s">
        <v>148</v>
      </c>
      <c r="D57" s="41">
        <f>D40/D40</f>
        <v>1</v>
      </c>
    </row>
    <row r="58" spans="1:4" x14ac:dyDescent="0.3">
      <c r="A58" s="7" t="s">
        <v>149</v>
      </c>
      <c r="C58" s="40" t="s">
        <v>150</v>
      </c>
      <c r="D58" s="41">
        <f>D28/D28</f>
        <v>1</v>
      </c>
    </row>
    <row r="59" spans="1:4" x14ac:dyDescent="0.3">
      <c r="A59" s="7" t="s">
        <v>151</v>
      </c>
      <c r="C59" s="40" t="s">
        <v>152</v>
      </c>
      <c r="D59" s="41">
        <f>ABS(D32/D31)</f>
        <v>0.35038661350131534</v>
      </c>
    </row>
    <row r="60" spans="1:4" x14ac:dyDescent="0.3">
      <c r="A60" s="7" t="s">
        <v>153</v>
      </c>
      <c r="C60" s="40" t="s">
        <v>154</v>
      </c>
      <c r="D60" s="41">
        <f>D25/D6</f>
        <v>0.18214797148042294</v>
      </c>
    </row>
    <row r="61" spans="1:4" x14ac:dyDescent="0.3">
      <c r="A61" s="7" t="s">
        <v>155</v>
      </c>
      <c r="C61" s="40" t="s">
        <v>156</v>
      </c>
      <c r="D61" s="41">
        <f>ABS(D16/D6)</f>
        <v>0.12114483465520137</v>
      </c>
    </row>
  </sheetData>
  <mergeCells count="6">
    <mergeCell ref="A55:D55"/>
    <mergeCell ref="A1:D1"/>
    <mergeCell ref="A2:D2"/>
    <mergeCell ref="A5:D5"/>
    <mergeCell ref="A27:D27"/>
    <mergeCell ref="A45:D4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42" customWidth="1"/>
    <col min="2" max="2" width="4" customWidth="1"/>
    <col min="3" max="7" width="16" customWidth="1"/>
  </cols>
  <sheetData>
    <row r="1" spans="1:7" ht="17.399999999999999" customHeight="1" x14ac:dyDescent="0.3">
      <c r="A1" s="6" t="s">
        <v>157</v>
      </c>
      <c r="B1" s="6"/>
      <c r="C1" s="6"/>
      <c r="D1" s="6"/>
      <c r="E1" s="6"/>
      <c r="F1" s="6"/>
      <c r="G1" s="6"/>
    </row>
    <row r="2" spans="1:7" ht="15" customHeight="1" x14ac:dyDescent="0.3">
      <c r="A2" s="5" t="s">
        <v>158</v>
      </c>
      <c r="B2" s="5"/>
      <c r="C2" s="5"/>
      <c r="D2" s="5"/>
      <c r="E2" s="5"/>
      <c r="F2" s="5"/>
      <c r="G2" s="5"/>
    </row>
    <row r="4" spans="1:7" ht="26.4" x14ac:dyDescent="0.3">
      <c r="A4" s="36" t="s">
        <v>94</v>
      </c>
      <c r="B4" s="36" t="s">
        <v>159</v>
      </c>
      <c r="C4" s="36" t="s">
        <v>14</v>
      </c>
      <c r="D4" s="36" t="s">
        <v>15</v>
      </c>
      <c r="E4" s="36" t="s">
        <v>16</v>
      </c>
      <c r="F4" s="36" t="s">
        <v>17</v>
      </c>
      <c r="G4" s="36" t="s">
        <v>18</v>
      </c>
    </row>
    <row r="5" spans="1:7" x14ac:dyDescent="0.3">
      <c r="A5" s="4" t="s">
        <v>160</v>
      </c>
      <c r="B5" s="4"/>
      <c r="C5" s="4"/>
      <c r="D5" s="4"/>
      <c r="E5" s="4"/>
      <c r="F5" s="4"/>
      <c r="G5" s="4"/>
    </row>
    <row r="6" spans="1:7" x14ac:dyDescent="0.3">
      <c r="A6" s="7" t="s">
        <v>101</v>
      </c>
      <c r="C6" s="42">
        <f>C9*('Historical Data'!D7/'Historical Data'!D6)</f>
        <v>53828460.400000006</v>
      </c>
      <c r="D6" s="42">
        <f>D9*('Historical Data'!D7/'Historical Data'!D6)</f>
        <v>59211306.440000005</v>
      </c>
      <c r="E6" s="42">
        <f>E9*('Historical Data'!D7/'Historical Data'!D6)</f>
        <v>64540324.019600011</v>
      </c>
      <c r="F6" s="42">
        <f>F9*('Historical Data'!D7/'Historical Data'!D6)</f>
        <v>70026251.561266005</v>
      </c>
      <c r="G6" s="42">
        <f>G9*('Historical Data'!D7/'Historical Data'!D6)</f>
        <v>75628351.686167285</v>
      </c>
    </row>
    <row r="7" spans="1:7" x14ac:dyDescent="0.3">
      <c r="A7" s="7" t="s">
        <v>102</v>
      </c>
      <c r="C7" s="42">
        <f>C9*('Historical Data'!D8/'Historical Data'!D6)</f>
        <v>6533883.4000000004</v>
      </c>
      <c r="D7" s="42">
        <f>D9*('Historical Data'!D8/'Historical Data'!D6)</f>
        <v>7187271.7400000012</v>
      </c>
      <c r="E7" s="42">
        <f>E9*('Historical Data'!D8/'Historical Data'!D6)</f>
        <v>7834126.1966000013</v>
      </c>
      <c r="F7" s="42">
        <f>F9*('Historical Data'!D8/'Historical Data'!D6)</f>
        <v>8500026.9233110007</v>
      </c>
      <c r="G7" s="42">
        <f>G9*('Historical Data'!D8/'Historical Data'!D6)</f>
        <v>9180029.0771758799</v>
      </c>
    </row>
    <row r="8" spans="1:7" x14ac:dyDescent="0.3">
      <c r="A8" s="7" t="s">
        <v>161</v>
      </c>
      <c r="C8" s="42">
        <f>C9*('Historical Data'!D9/'Historical Data'!D6)</f>
        <v>6122457.0000000009</v>
      </c>
      <c r="D8" s="42">
        <f>D9*('Historical Data'!D9/'Historical Data'!D6)</f>
        <v>6734702.7000000011</v>
      </c>
      <c r="E8" s="42">
        <f>E9*('Historical Data'!D9/'Historical Data'!D6)</f>
        <v>7340825.9430000009</v>
      </c>
      <c r="F8" s="42">
        <f>F9*('Historical Data'!D9/'Historical Data'!D6)</f>
        <v>7964796.1481550001</v>
      </c>
      <c r="G8" s="42">
        <f>G9*('Historical Data'!D9/'Historical Data'!D6)</f>
        <v>8601979.8400074001</v>
      </c>
    </row>
    <row r="9" spans="1:7" x14ac:dyDescent="0.3">
      <c r="A9" s="43" t="s">
        <v>162</v>
      </c>
      <c r="C9" s="44">
        <f>('Historical Data'!D6*2)*(1+Assumptions!B14)</f>
        <v>66484800.800000004</v>
      </c>
      <c r="D9" s="44">
        <f>C9*(1+Assumptions!C14)</f>
        <v>73133280.88000001</v>
      </c>
      <c r="E9" s="44">
        <f>D9*(1+Assumptions!D14)</f>
        <v>79715276.159200013</v>
      </c>
      <c r="F9" s="44">
        <f>E9*(1+Assumptions!E14)</f>
        <v>86491074.632732004</v>
      </c>
      <c r="G9" s="44">
        <f>F9*(1+Assumptions!F14)</f>
        <v>93410360.603350565</v>
      </c>
    </row>
    <row r="10" spans="1:7" x14ac:dyDescent="0.3">
      <c r="A10" s="4" t="s">
        <v>163</v>
      </c>
      <c r="B10" s="4"/>
      <c r="C10" s="4"/>
      <c r="D10" s="4"/>
      <c r="E10" s="4"/>
      <c r="F10" s="4"/>
      <c r="G10" s="4"/>
    </row>
    <row r="11" spans="1:7" x14ac:dyDescent="0.3">
      <c r="A11" s="7" t="s">
        <v>105</v>
      </c>
      <c r="C11" s="42">
        <f>C9*('Historical Data'!D11/'Historical Data'!D6)</f>
        <v>-19669419.000000004</v>
      </c>
      <c r="D11" s="42">
        <f>D9*('Historical Data'!D11/'Historical Data'!D6)</f>
        <v>-21636360.900000002</v>
      </c>
      <c r="E11" s="42">
        <f>E9*('Historical Data'!D11/'Historical Data'!D6)</f>
        <v>-23583633.381000005</v>
      </c>
      <c r="F11" s="42">
        <f>F9*('Historical Data'!D11/'Historical Data'!D6)</f>
        <v>-25588242.218385004</v>
      </c>
      <c r="G11" s="42">
        <f>G9*('Historical Data'!D11/'Historical Data'!D6)</f>
        <v>-27635301.595855802</v>
      </c>
    </row>
    <row r="12" spans="1:7" x14ac:dyDescent="0.3">
      <c r="A12" s="7" t="s">
        <v>106</v>
      </c>
      <c r="C12" s="42">
        <f>C9*('Historical Data'!D12/'Historical Data'!D6)</f>
        <v>-1174692.2000000002</v>
      </c>
      <c r="D12" s="42">
        <f>D9*('Historical Data'!D12/'Historical Data'!D6)</f>
        <v>-1292161.4200000002</v>
      </c>
      <c r="E12" s="42">
        <f>E9*('Historical Data'!D12/'Historical Data'!D6)</f>
        <v>-1408455.9478000002</v>
      </c>
      <c r="F12" s="42">
        <f>F9*('Historical Data'!D12/'Historical Data'!D6)</f>
        <v>-1528174.7033630002</v>
      </c>
      <c r="G12" s="42">
        <f>G9*('Historical Data'!D12/'Historical Data'!D6)</f>
        <v>-1650428.6796320402</v>
      </c>
    </row>
    <row r="13" spans="1:7" x14ac:dyDescent="0.3">
      <c r="A13" s="43" t="s">
        <v>164</v>
      </c>
      <c r="C13" s="44">
        <f>C11+C12</f>
        <v>-20844111.200000003</v>
      </c>
      <c r="D13" s="44">
        <f>D11+D12</f>
        <v>-22928522.320000004</v>
      </c>
      <c r="E13" s="44">
        <f>E11+E12</f>
        <v>-24992089.328800004</v>
      </c>
      <c r="F13" s="44">
        <f>F11+F12</f>
        <v>-27116416.921748005</v>
      </c>
      <c r="G13" s="44">
        <f>G11+G12</f>
        <v>-29285730.275487844</v>
      </c>
    </row>
    <row r="14" spans="1:7" x14ac:dyDescent="0.3">
      <c r="A14" s="43" t="s">
        <v>165</v>
      </c>
      <c r="C14" s="44">
        <f>C9+C13</f>
        <v>45640689.600000001</v>
      </c>
      <c r="D14" s="44">
        <f>D9+D13</f>
        <v>50204758.560000002</v>
      </c>
      <c r="E14" s="44">
        <f>E9+E13</f>
        <v>54723186.830400005</v>
      </c>
      <c r="F14" s="44">
        <f>F9+F13</f>
        <v>59374657.710983999</v>
      </c>
      <c r="G14" s="44">
        <f>G9+G13</f>
        <v>64124630.327862725</v>
      </c>
    </row>
    <row r="15" spans="1:7" x14ac:dyDescent="0.3">
      <c r="A15" s="4" t="s">
        <v>166</v>
      </c>
      <c r="B15" s="4"/>
      <c r="C15" s="4"/>
      <c r="D15" s="4"/>
      <c r="E15" s="4"/>
      <c r="F15" s="4"/>
      <c r="G15" s="4"/>
    </row>
    <row r="16" spans="1:7" x14ac:dyDescent="0.3">
      <c r="A16" s="7" t="s">
        <v>167</v>
      </c>
      <c r="C16" s="42">
        <f>'Historical Data'!D31*(1+Assumptions!B38)</f>
        <v>118366527.15000001</v>
      </c>
      <c r="D16" s="42">
        <f>C16*(1+Assumptions!B38)</f>
        <v>159794811.65250003</v>
      </c>
      <c r="E16" s="42">
        <f>D16*(1+Assumptions!B38)</f>
        <v>215722995.73087505</v>
      </c>
      <c r="F16" s="42">
        <f>E16*(1+Assumptions!B38)</f>
        <v>291226044.23668134</v>
      </c>
      <c r="G16" s="42">
        <f>F16*(1+Assumptions!B38)</f>
        <v>393155159.71951985</v>
      </c>
    </row>
    <row r="17" spans="1:7" x14ac:dyDescent="0.3">
      <c r="A17" s="7" t="s">
        <v>168</v>
      </c>
      <c r="C17" s="45">
        <f>Assumptions!B39</f>
        <v>0.09</v>
      </c>
      <c r="D17" s="45">
        <f>Assumptions!B40</f>
        <v>0.35</v>
      </c>
      <c r="E17" s="45">
        <f>Assumptions!B41</f>
        <v>0.34499999999999997</v>
      </c>
      <c r="F17" s="45">
        <f>Assumptions!B42</f>
        <v>0.34</v>
      </c>
      <c r="G17" s="45">
        <f>Assumptions!B43</f>
        <v>0.33500000000000002</v>
      </c>
    </row>
    <row r="18" spans="1:7" x14ac:dyDescent="0.3">
      <c r="A18" s="43" t="s">
        <v>108</v>
      </c>
      <c r="C18" s="44">
        <f>-C16*Assumptions!B39</f>
        <v>-10652987.443500001</v>
      </c>
      <c r="D18" s="44">
        <f>-D16*Assumptions!B40</f>
        <v>-55928184.078375012</v>
      </c>
      <c r="E18" s="44">
        <f>-E16*Assumptions!B41</f>
        <v>-74424433.527151883</v>
      </c>
      <c r="F18" s="44">
        <f>-F16*Assumptions!B42</f>
        <v>-99016855.040471658</v>
      </c>
      <c r="G18" s="44">
        <f>-G16*Assumptions!B43</f>
        <v>-131706978.50603916</v>
      </c>
    </row>
    <row r="19" spans="1:7" x14ac:dyDescent="0.3">
      <c r="A19" s="43" t="s">
        <v>169</v>
      </c>
      <c r="C19" s="44">
        <f>C14+C18</f>
        <v>34987702.156499997</v>
      </c>
      <c r="D19" s="44">
        <f>D14+D18</f>
        <v>-5723425.5183750093</v>
      </c>
      <c r="E19" s="44">
        <f>E14+E18</f>
        <v>-19701246.696751878</v>
      </c>
      <c r="F19" s="44">
        <f>F14+F18</f>
        <v>-39642197.329487659</v>
      </c>
      <c r="G19" s="44">
        <f>G14+G18</f>
        <v>-67582348.178176433</v>
      </c>
    </row>
    <row r="20" spans="1:7" x14ac:dyDescent="0.3">
      <c r="A20" s="4" t="s">
        <v>170</v>
      </c>
      <c r="B20" s="4"/>
      <c r="C20" s="4"/>
      <c r="D20" s="4"/>
      <c r="E20" s="4"/>
      <c r="F20" s="4"/>
      <c r="G20" s="4"/>
    </row>
    <row r="21" spans="1:7" x14ac:dyDescent="0.3">
      <c r="A21" s="7" t="s">
        <v>111</v>
      </c>
      <c r="C21" s="42">
        <f>'Historical Data'!D17*(1+Assumptions!B14)*2</f>
        <v>-1879845.0000000002</v>
      </c>
      <c r="D21" s="42">
        <f>C21*(1+Assumptions!C14)</f>
        <v>-2067829.5000000005</v>
      </c>
      <c r="E21" s="42">
        <f>D21*(1+Assumptions!D14)</f>
        <v>-2253934.1550000007</v>
      </c>
      <c r="F21" s="42">
        <f>E21*(1+Assumptions!E14)</f>
        <v>-2445518.5581750008</v>
      </c>
      <c r="G21" s="42">
        <f>F21*(1+Assumptions!F14)</f>
        <v>-2641160.0428290009</v>
      </c>
    </row>
    <row r="22" spans="1:7" x14ac:dyDescent="0.3">
      <c r="A22" s="7" t="s">
        <v>112</v>
      </c>
      <c r="C22" s="42">
        <f>'Historical Data'!D18*(1+Assumptions!B14)*2</f>
        <v>-2352552.4000000004</v>
      </c>
      <c r="D22" s="42">
        <f>C22*(1+Assumptions!C14)</f>
        <v>-2587807.6400000006</v>
      </c>
      <c r="E22" s="42">
        <f>D22*(1+Assumptions!D14)</f>
        <v>-2820710.3276000009</v>
      </c>
      <c r="F22" s="42">
        <f>E22*(1+Assumptions!E14)</f>
        <v>-3060470.7054460007</v>
      </c>
      <c r="G22" s="42">
        <f>F22*(1+Assumptions!F14)</f>
        <v>-3305308.3618816808</v>
      </c>
    </row>
    <row r="23" spans="1:7" x14ac:dyDescent="0.3">
      <c r="A23" s="7" t="s">
        <v>113</v>
      </c>
      <c r="C23" s="42">
        <f>'Historical Data'!D19*(1+Assumptions!B14)*2</f>
        <v>-3333374.0000000005</v>
      </c>
      <c r="D23" s="42">
        <f>C23*(1+Assumptions!C14)</f>
        <v>-3666711.4000000008</v>
      </c>
      <c r="E23" s="42">
        <f>D23*(1+Assumptions!D14)</f>
        <v>-3996715.4260000014</v>
      </c>
      <c r="F23" s="42">
        <f>E23*(1+Assumptions!E14)</f>
        <v>-4336436.2372100018</v>
      </c>
      <c r="G23" s="42">
        <f>F23*(1+Assumptions!F14)</f>
        <v>-4683351.1361868018</v>
      </c>
    </row>
    <row r="24" spans="1:7" x14ac:dyDescent="0.3">
      <c r="A24" s="7" t="s">
        <v>171</v>
      </c>
      <c r="C24" s="42">
        <f>('Historical Data'!D21+'Historical Data'!D22+'Historical Data'!D23)*2</f>
        <v>16694088</v>
      </c>
      <c r="D24" s="42">
        <f>C24*(1+Assumptions!C14)</f>
        <v>18363496.800000001</v>
      </c>
      <c r="E24" s="42">
        <f>D24*(1+Assumptions!D14)</f>
        <v>20016211.512000002</v>
      </c>
      <c r="F24" s="42">
        <f>E24*(1+Assumptions!E14)</f>
        <v>21717589.49052</v>
      </c>
      <c r="G24" s="42">
        <f>F24*(1+Assumptions!F14)</f>
        <v>23454996.649761602</v>
      </c>
    </row>
    <row r="25" spans="1:7" x14ac:dyDescent="0.3">
      <c r="A25" s="43" t="s">
        <v>172</v>
      </c>
      <c r="C25" s="44">
        <f>SUM(C21:C24)</f>
        <v>9128316.5999999996</v>
      </c>
      <c r="D25" s="44">
        <f>SUM(D21:D24)</f>
        <v>10041148.26</v>
      </c>
      <c r="E25" s="44">
        <f>SUM(E21:E24)</f>
        <v>10944851.603399999</v>
      </c>
      <c r="F25" s="44">
        <f>SUM(F21:F24)</f>
        <v>11875163.989688996</v>
      </c>
      <c r="G25" s="44">
        <f>SUM(G21:G24)</f>
        <v>12825177.108864117</v>
      </c>
    </row>
    <row r="26" spans="1:7" x14ac:dyDescent="0.3">
      <c r="A26" s="4" t="s">
        <v>173</v>
      </c>
      <c r="B26" s="4"/>
      <c r="C26" s="4"/>
      <c r="D26" s="4"/>
      <c r="E26" s="4"/>
      <c r="F26" s="4"/>
      <c r="G26" s="4"/>
    </row>
    <row r="27" spans="1:7" x14ac:dyDescent="0.3">
      <c r="A27" s="43" t="s">
        <v>117</v>
      </c>
      <c r="C27" s="44">
        <f>C19+C25</f>
        <v>44116018.756499998</v>
      </c>
      <c r="D27" s="44">
        <f>D19+D25</f>
        <v>4317722.7416249905</v>
      </c>
      <c r="E27" s="44">
        <f>E19+E25</f>
        <v>-8756395.0933518782</v>
      </c>
      <c r="F27" s="44">
        <f>F19+F25</f>
        <v>-27767033.339798663</v>
      </c>
      <c r="G27" s="44">
        <f>G19+G25</f>
        <v>-54757171.069312319</v>
      </c>
    </row>
    <row r="28" spans="1:7" x14ac:dyDescent="0.3">
      <c r="A28" s="7" t="s">
        <v>174</v>
      </c>
      <c r="C28" s="42">
        <f>-C27*Assumptions!B16</f>
        <v>-16014114.808609499</v>
      </c>
      <c r="D28" s="42">
        <f>-D27*Assumptions!B16</f>
        <v>-1567333.3552098714</v>
      </c>
      <c r="E28" s="42">
        <f>-E27*Assumptions!B16</f>
        <v>3178571.4188867318</v>
      </c>
      <c r="F28" s="42">
        <f>-F27*Assumptions!B16</f>
        <v>10079433.102346914</v>
      </c>
      <c r="G28" s="42">
        <f>-G27*Assumptions!B16</f>
        <v>19876853.098160371</v>
      </c>
    </row>
    <row r="29" spans="1:7" x14ac:dyDescent="0.3">
      <c r="A29" s="43" t="s">
        <v>119</v>
      </c>
      <c r="C29" s="44">
        <f>C27+C28</f>
        <v>28101903.947890498</v>
      </c>
      <c r="D29" s="44">
        <f>D27+D28</f>
        <v>2750389.3864151193</v>
      </c>
      <c r="E29" s="44">
        <f>E27+E28</f>
        <v>-5577823.6744651459</v>
      </c>
      <c r="F29" s="44">
        <f>F27+F28</f>
        <v>-17687600.237451747</v>
      </c>
      <c r="G29" s="44">
        <f>G27+G28</f>
        <v>-34880317.971151948</v>
      </c>
    </row>
    <row r="31" spans="1:7" x14ac:dyDescent="0.3">
      <c r="A31" s="4" t="s">
        <v>175</v>
      </c>
      <c r="B31" s="4"/>
      <c r="C31" s="4"/>
      <c r="D31" s="4"/>
      <c r="E31" s="4"/>
      <c r="F31" s="4"/>
      <c r="G31" s="4"/>
    </row>
    <row r="32" spans="1:7" x14ac:dyDescent="0.3">
      <c r="A32" s="7" t="s">
        <v>176</v>
      </c>
      <c r="C32" s="45">
        <f>IFERROR(C27/C9,0)</f>
        <v>0.66355043898243871</v>
      </c>
      <c r="D32" s="45">
        <f>IFERROR(D27/D9,0)</f>
        <v>5.9039095329384735E-2</v>
      </c>
      <c r="E32" s="45">
        <f>IFERROR(E27/E9,0)</f>
        <v>-0.10984588544690496</v>
      </c>
      <c r="F32" s="45">
        <f>IFERROR(F27/F9,0)</f>
        <v>-0.32103929171542983</v>
      </c>
      <c r="G32" s="45">
        <f>IFERROR(G27/G9,0)</f>
        <v>-0.5862001893112081</v>
      </c>
    </row>
    <row r="33" spans="1:7" x14ac:dyDescent="0.3">
      <c r="A33" s="7" t="s">
        <v>177</v>
      </c>
      <c r="C33" s="45">
        <f>IFERROR(C29/C9,0)</f>
        <v>0.42268162963181349</v>
      </c>
      <c r="D33" s="45">
        <f>IFERROR(D29/D9,0)</f>
        <v>3.7607903724818079E-2</v>
      </c>
      <c r="E33" s="45">
        <f>IFERROR(E29/E9,0)</f>
        <v>-6.9971829029678453E-2</v>
      </c>
      <c r="F33" s="45">
        <f>IFERROR(F29/F9,0)</f>
        <v>-0.20450202882272878</v>
      </c>
      <c r="G33" s="45">
        <f>IFERROR(G29/G9,0)</f>
        <v>-0.37340952059123961</v>
      </c>
    </row>
    <row r="34" spans="1:7" x14ac:dyDescent="0.3">
      <c r="A34" s="7" t="s">
        <v>178</v>
      </c>
      <c r="C34" s="45">
        <f>IFERROR(ABS(C18)/C16,0)</f>
        <v>9.0000000000000011E-2</v>
      </c>
      <c r="D34" s="45">
        <f>IFERROR(ABS(D18)/D16,0)</f>
        <v>0.35</v>
      </c>
      <c r="E34" s="45">
        <f>IFERROR(ABS(E18)/E16,0)</f>
        <v>0.34499999999999997</v>
      </c>
      <c r="F34" s="45">
        <f>IFERROR(ABS(F18)/F16,0)</f>
        <v>0.34</v>
      </c>
      <c r="G34" s="45">
        <f>IFERROR(ABS(G18)/G16,0)</f>
        <v>0.33500000000000002</v>
      </c>
    </row>
  </sheetData>
  <mergeCells count="8">
    <mergeCell ref="A20:G20"/>
    <mergeCell ref="A26:G26"/>
    <mergeCell ref="A31:G31"/>
    <mergeCell ref="A1:G1"/>
    <mergeCell ref="A2:G2"/>
    <mergeCell ref="A5:G5"/>
    <mergeCell ref="A10:G10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showGridLines="0" zoomScaleNormal="100" workbookViewId="0"/>
  </sheetViews>
  <sheetFormatPr defaultColWidth="8.6640625" defaultRowHeight="14.4" x14ac:dyDescent="0.3"/>
  <cols>
    <col min="1" max="1" width="48" customWidth="1"/>
    <col min="2" max="2" width="4" customWidth="1"/>
    <col min="3" max="7" width="16" customWidth="1"/>
  </cols>
  <sheetData>
    <row r="1" spans="1:7" ht="17.399999999999999" customHeight="1" x14ac:dyDescent="0.3">
      <c r="A1" s="6" t="s">
        <v>179</v>
      </c>
      <c r="B1" s="6"/>
      <c r="C1" s="6"/>
      <c r="D1" s="6"/>
      <c r="E1" s="6"/>
      <c r="F1" s="6"/>
      <c r="G1" s="6"/>
    </row>
    <row r="2" spans="1:7" ht="15" customHeight="1" x14ac:dyDescent="0.3">
      <c r="A2" s="5" t="s">
        <v>180</v>
      </c>
      <c r="B2" s="5"/>
      <c r="C2" s="5"/>
      <c r="D2" s="5"/>
      <c r="E2" s="5"/>
      <c r="F2" s="5"/>
      <c r="G2" s="5"/>
    </row>
    <row r="4" spans="1:7" ht="26.4" x14ac:dyDescent="0.3">
      <c r="A4" s="36" t="s">
        <v>94</v>
      </c>
      <c r="B4" s="36" t="s">
        <v>159</v>
      </c>
      <c r="C4" s="36" t="s">
        <v>14</v>
      </c>
      <c r="D4" s="36" t="s">
        <v>15</v>
      </c>
      <c r="E4" s="36" t="s">
        <v>16</v>
      </c>
      <c r="F4" s="36" t="s">
        <v>17</v>
      </c>
      <c r="G4" s="36" t="s">
        <v>18</v>
      </c>
    </row>
    <row r="5" spans="1:7" x14ac:dyDescent="0.3">
      <c r="A5" s="4" t="s">
        <v>181</v>
      </c>
      <c r="B5" s="4"/>
      <c r="C5" s="4"/>
      <c r="D5" s="4"/>
      <c r="E5" s="4"/>
      <c r="F5" s="4"/>
      <c r="G5" s="4"/>
    </row>
    <row r="6" spans="1:7" x14ac:dyDescent="0.3">
      <c r="A6" s="7" t="s">
        <v>182</v>
      </c>
      <c r="C6" s="17">
        <f>'Income Statement'!C27</f>
        <v>44116018.756499998</v>
      </c>
      <c r="D6" s="17">
        <f>'Income Statement'!D27</f>
        <v>4317722.7416249905</v>
      </c>
      <c r="E6" s="17">
        <f>'Income Statement'!E27</f>
        <v>-8756395.0933518782</v>
      </c>
      <c r="F6" s="17">
        <f>'Income Statement'!F27</f>
        <v>-27767033.339798663</v>
      </c>
      <c r="G6" s="17">
        <f>'Income Statement'!G27</f>
        <v>-54757171.069312319</v>
      </c>
    </row>
    <row r="7" spans="1:7" x14ac:dyDescent="0.3">
      <c r="A7" s="7" t="s">
        <v>183</v>
      </c>
      <c r="C7" s="42">
        <f>-C6*Assumptions!B16</f>
        <v>-16014114.808609499</v>
      </c>
      <c r="D7" s="42">
        <f>-D6*Assumptions!B16</f>
        <v>-1567333.3552098714</v>
      </c>
      <c r="E7" s="42">
        <f>-E6*Assumptions!B16</f>
        <v>3178571.4188867318</v>
      </c>
      <c r="F7" s="42">
        <f>-F6*Assumptions!B16</f>
        <v>10079433.102346914</v>
      </c>
      <c r="G7" s="42">
        <f>-G6*Assumptions!B16</f>
        <v>19876853.098160371</v>
      </c>
    </row>
    <row r="8" spans="1:7" x14ac:dyDescent="0.3">
      <c r="A8" s="43" t="s">
        <v>184</v>
      </c>
      <c r="C8" s="44">
        <f>C6+C7</f>
        <v>28101903.947890498</v>
      </c>
      <c r="D8" s="44">
        <f>D6+D7</f>
        <v>2750389.3864151193</v>
      </c>
      <c r="E8" s="44">
        <f>E6+E7</f>
        <v>-5577823.6744651459</v>
      </c>
      <c r="F8" s="44">
        <f>F6+F7</f>
        <v>-17687600.237451747</v>
      </c>
      <c r="G8" s="44">
        <f>G6+G7</f>
        <v>-34880317.971151948</v>
      </c>
    </row>
    <row r="9" spans="1:7" x14ac:dyDescent="0.3">
      <c r="A9" s="4" t="s">
        <v>185</v>
      </c>
      <c r="B9" s="4"/>
      <c r="C9" s="4"/>
      <c r="D9" s="4"/>
      <c r="E9" s="4"/>
      <c r="F9" s="4"/>
      <c r="G9" s="4"/>
    </row>
    <row r="10" spans="1:7" x14ac:dyDescent="0.3">
      <c r="A10" s="7" t="s">
        <v>186</v>
      </c>
      <c r="C10" s="42">
        <f>'Historical Data'!D47*2*(1+Assumptions!B14)</f>
        <v>22663825.800000001</v>
      </c>
      <c r="D10" s="42">
        <f>C10*(1+Assumptions!C14)</f>
        <v>24930208.380000003</v>
      </c>
      <c r="E10" s="42">
        <f>D10*(1+Assumptions!D14)</f>
        <v>27173927.134200007</v>
      </c>
      <c r="F10" s="42">
        <f>E10*(1+Assumptions!E14)</f>
        <v>29483710.940607008</v>
      </c>
      <c r="G10" s="42">
        <f>F10*(1+Assumptions!F14)</f>
        <v>31842407.81585557</v>
      </c>
    </row>
    <row r="11" spans="1:7" x14ac:dyDescent="0.3">
      <c r="A11" s="7" t="s">
        <v>187</v>
      </c>
      <c r="C11" s="42">
        <f>ABS('Income Statement'!C18)*('Historical Data'!D46/ABS('Historical Data'!D14))</f>
        <v>6931792.6833388889</v>
      </c>
      <c r="D11" s="42">
        <f>ABS('Income Statement'!D18)*('Historical Data'!D46/ABS('Historical Data'!D14))</f>
        <v>36391911.587529175</v>
      </c>
      <c r="E11" s="42">
        <f>ABS('Income Statement'!E18)*('Historical Data'!D46/ABS('Historical Data'!D14))</f>
        <v>48427236.63397631</v>
      </c>
      <c r="F11" s="42">
        <f>ABS('Income Statement'!F18)*('Historical Data'!D46/ABS('Historical Data'!D14))</f>
        <v>64429280.043464154</v>
      </c>
      <c r="G11" s="42">
        <f>ABS('Income Statement'!G18)*('Historical Data'!D46/ABS('Historical Data'!D14))</f>
        <v>85700417.351931378</v>
      </c>
    </row>
    <row r="12" spans="1:7" x14ac:dyDescent="0.3">
      <c r="A12" s="7" t="s">
        <v>188</v>
      </c>
      <c r="C12" s="42">
        <f>'Historical Data'!D48*2*(1+Assumptions!B14)</f>
        <v>35252.800000000003</v>
      </c>
      <c r="D12" s="42">
        <f>C12*(1+Assumptions!C14)</f>
        <v>38778.080000000009</v>
      </c>
      <c r="E12" s="42">
        <f>D12*(1+Assumptions!D14)</f>
        <v>42268.107200000013</v>
      </c>
      <c r="F12" s="42">
        <f>E12*(1+Assumptions!E14)</f>
        <v>45860.896312000012</v>
      </c>
      <c r="G12" s="42">
        <f>F12*(1+Assumptions!F14)</f>
        <v>49529.768016960013</v>
      </c>
    </row>
    <row r="13" spans="1:7" x14ac:dyDescent="0.3">
      <c r="A13" s="43" t="s">
        <v>189</v>
      </c>
      <c r="C13" s="44">
        <f>SUM(C10:C12)</f>
        <v>29630871.283338889</v>
      </c>
      <c r="D13" s="44">
        <f>SUM(D10:D12)</f>
        <v>61360898.047529176</v>
      </c>
      <c r="E13" s="44">
        <f>SUM(E10:E12)</f>
        <v>75643431.875376314</v>
      </c>
      <c r="F13" s="44">
        <f>SUM(F10:F12)</f>
        <v>93958851.880383164</v>
      </c>
      <c r="G13" s="44">
        <f>SUM(G10:G12)</f>
        <v>117592354.93580392</v>
      </c>
    </row>
    <row r="14" spans="1:7" x14ac:dyDescent="0.3">
      <c r="A14" s="4" t="s">
        <v>190</v>
      </c>
      <c r="B14" s="4"/>
      <c r="C14" s="4"/>
      <c r="D14" s="4"/>
      <c r="E14" s="4"/>
      <c r="F14" s="4"/>
      <c r="G14" s="4"/>
    </row>
    <row r="15" spans="1:7" x14ac:dyDescent="0.3">
      <c r="A15" s="7" t="s">
        <v>191</v>
      </c>
      <c r="C15" s="42">
        <f>-'Income Statement'!C9*Assumptions!B18</f>
        <v>-332424.00400000002</v>
      </c>
      <c r="D15" s="42">
        <f>-'Income Statement'!D9*Assumptions!C18</f>
        <v>-365666.40440000006</v>
      </c>
      <c r="E15" s="42">
        <f>-'Income Statement'!E9*Assumptions!D18</f>
        <v>-398576.38079600007</v>
      </c>
      <c r="F15" s="42">
        <f>-'Income Statement'!F9*Assumptions!E18</f>
        <v>-432455.37316366006</v>
      </c>
      <c r="G15" s="42">
        <f>-'Income Statement'!G9*Assumptions!F18</f>
        <v>-467051.80301675282</v>
      </c>
    </row>
    <row r="16" spans="1:7" x14ac:dyDescent="0.3">
      <c r="A16" s="4" t="s">
        <v>192</v>
      </c>
      <c r="B16" s="4"/>
      <c r="C16" s="4"/>
      <c r="D16" s="4"/>
      <c r="E16" s="4"/>
      <c r="F16" s="4"/>
      <c r="G16" s="4"/>
    </row>
    <row r="17" spans="1:7" x14ac:dyDescent="0.3">
      <c r="A17" s="7" t="s">
        <v>193</v>
      </c>
      <c r="C17" s="42">
        <f>-'Income Statement'!C9*Assumptions!B17</f>
        <v>-1662120.0200000003</v>
      </c>
      <c r="D17" s="42">
        <f>-'Income Statement'!D9*Assumptions!C17</f>
        <v>-1828332.0220000003</v>
      </c>
      <c r="E17" s="42">
        <f>-'Income Statement'!E9*Assumptions!D17</f>
        <v>-1992881.9039800004</v>
      </c>
      <c r="F17" s="42">
        <f>-'Income Statement'!F9*Assumptions!E17</f>
        <v>-2162276.8658183003</v>
      </c>
      <c r="G17" s="42">
        <f>-'Income Statement'!G9*Assumptions!F17</f>
        <v>-2335259.0150837642</v>
      </c>
    </row>
    <row r="18" spans="1:7" x14ac:dyDescent="0.3">
      <c r="A18" s="4" t="s">
        <v>194</v>
      </c>
      <c r="B18" s="4"/>
      <c r="C18" s="4"/>
      <c r="D18" s="4"/>
      <c r="E18" s="4"/>
      <c r="F18" s="4"/>
      <c r="G18" s="4"/>
    </row>
    <row r="19" spans="1:7" x14ac:dyDescent="0.3">
      <c r="A19" s="43" t="s">
        <v>195</v>
      </c>
      <c r="C19" s="46">
        <f>C8+C13+C15+C17</f>
        <v>55738231.207229383</v>
      </c>
      <c r="D19" s="46">
        <f>D8+D13+D15+D17</f>
        <v>61917289.007544294</v>
      </c>
      <c r="E19" s="46">
        <f>E8+E13+E15+E17</f>
        <v>67674149.916135162</v>
      </c>
      <c r="F19" s="46">
        <f>F8+F13+F15+F17</f>
        <v>73676519.403949454</v>
      </c>
      <c r="G19" s="46">
        <f>G8+G13+G15+G17</f>
        <v>79909726.14655146</v>
      </c>
    </row>
    <row r="21" spans="1:7" x14ac:dyDescent="0.3">
      <c r="A21" s="4" t="s">
        <v>196</v>
      </c>
      <c r="B21" s="4"/>
      <c r="C21" s="4"/>
      <c r="D21" s="4"/>
      <c r="E21" s="4"/>
      <c r="F21" s="4"/>
      <c r="G21" s="4"/>
    </row>
    <row r="22" spans="1:7" x14ac:dyDescent="0.3">
      <c r="A22" s="7" t="s">
        <v>197</v>
      </c>
      <c r="C22" s="45">
        <f>IFERROR(C19/'Income Statement'!C9,0)</f>
        <v>0.83836050550713814</v>
      </c>
      <c r="D22" s="45">
        <f>IFERROR(D19/'Income Statement'!D9,0)</f>
        <v>0.84663628190208828</v>
      </c>
      <c r="E22" s="45">
        <f>IFERROR(E19/'Income Statement'!E9,0)</f>
        <v>0.84894832178693802</v>
      </c>
      <c r="F22" s="45">
        <f>IFERROR(F19/'Income Statement'!F9,0)</f>
        <v>0.85183956514360426</v>
      </c>
      <c r="G22" s="45">
        <f>IFERROR(G19/'Income Statement'!G9,0)</f>
        <v>0.85546962489389167</v>
      </c>
    </row>
    <row r="23" spans="1:7" x14ac:dyDescent="0.3">
      <c r="A23" s="7" t="s">
        <v>198</v>
      </c>
      <c r="C23" s="45">
        <f>IFERROR(C8/'Income Statement'!C9,0)</f>
        <v>0.42268162963181349</v>
      </c>
      <c r="D23" s="45">
        <f>IFERROR(D8/'Income Statement'!D9,0)</f>
        <v>3.7607903724818079E-2</v>
      </c>
      <c r="E23" s="45">
        <f>IFERROR(E8/'Income Statement'!E9,0)</f>
        <v>-6.9971829029678453E-2</v>
      </c>
      <c r="F23" s="45">
        <f>IFERROR(F8/'Income Statement'!F9,0)</f>
        <v>-0.20450202882272878</v>
      </c>
      <c r="G23" s="45">
        <f>IFERROR(G8/'Income Statement'!G9,0)</f>
        <v>-0.37340952059123961</v>
      </c>
    </row>
  </sheetData>
  <mergeCells count="8">
    <mergeCell ref="A16:G16"/>
    <mergeCell ref="A18:G18"/>
    <mergeCell ref="A21:G21"/>
    <mergeCell ref="A1:G1"/>
    <mergeCell ref="A2:G2"/>
    <mergeCell ref="A5:G5"/>
    <mergeCell ref="A9:G9"/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2"/>
  <sheetViews>
    <sheetView showGridLines="0" zoomScaleNormal="100" workbookViewId="0"/>
  </sheetViews>
  <sheetFormatPr defaultColWidth="8.6640625" defaultRowHeight="14.4" x14ac:dyDescent="0.3"/>
  <cols>
    <col min="1" max="1" width="45" customWidth="1"/>
    <col min="2" max="2" width="4" customWidth="1"/>
    <col min="3" max="7" width="18" customWidth="1"/>
  </cols>
  <sheetData>
    <row r="1" spans="1:7" ht="17.399999999999999" customHeight="1" x14ac:dyDescent="0.3">
      <c r="A1" s="6" t="s">
        <v>199</v>
      </c>
      <c r="B1" s="6"/>
      <c r="C1" s="6"/>
      <c r="D1" s="6"/>
      <c r="E1" s="6"/>
      <c r="F1" s="6"/>
      <c r="G1" s="6"/>
    </row>
    <row r="2" spans="1:7" ht="15" customHeight="1" x14ac:dyDescent="0.3">
      <c r="A2" s="5" t="s">
        <v>180</v>
      </c>
      <c r="B2" s="5"/>
      <c r="C2" s="5"/>
      <c r="D2" s="5"/>
      <c r="E2" s="5"/>
      <c r="F2" s="5"/>
      <c r="G2" s="5"/>
    </row>
    <row r="4" spans="1:7" ht="26.4" x14ac:dyDescent="0.3">
      <c r="A4" s="36" t="s">
        <v>94</v>
      </c>
      <c r="B4" s="36" t="s">
        <v>159</v>
      </c>
      <c r="C4" s="36" t="s">
        <v>14</v>
      </c>
      <c r="D4" s="36" t="s">
        <v>15</v>
      </c>
      <c r="E4" s="36" t="s">
        <v>16</v>
      </c>
      <c r="F4" s="36" t="s">
        <v>17</v>
      </c>
      <c r="G4" s="36" t="s">
        <v>18</v>
      </c>
    </row>
    <row r="5" spans="1:7" x14ac:dyDescent="0.3">
      <c r="A5" s="4" t="s">
        <v>200</v>
      </c>
      <c r="B5" s="4"/>
      <c r="C5" s="4"/>
      <c r="D5" s="4"/>
      <c r="E5" s="4"/>
      <c r="F5" s="4"/>
      <c r="G5" s="4"/>
    </row>
    <row r="6" spans="1:7" x14ac:dyDescent="0.3">
      <c r="A6" s="7" t="s">
        <v>201</v>
      </c>
      <c r="C6" s="17">
        <f>'Cash Flow Projection'!C19</f>
        <v>55738231.207229383</v>
      </c>
      <c r="D6" s="17">
        <f>'Cash Flow Projection'!D19</f>
        <v>61917289.007544294</v>
      </c>
      <c r="E6" s="17">
        <f>'Cash Flow Projection'!E19</f>
        <v>67674149.916135162</v>
      </c>
      <c r="F6" s="17">
        <f>'Cash Flow Projection'!F19</f>
        <v>73676519.403949454</v>
      </c>
      <c r="G6" s="17">
        <f>'Cash Flow Projection'!G19</f>
        <v>79909726.14655146</v>
      </c>
    </row>
    <row r="7" spans="1:7" x14ac:dyDescent="0.3">
      <c r="A7" s="7" t="s">
        <v>202</v>
      </c>
      <c r="C7" s="47">
        <f>(1+Assumptions!B33)^1</f>
        <v>1.0638504467706418</v>
      </c>
      <c r="D7" s="47">
        <f>(1+Assumptions!B33)^2</f>
        <v>1.1317777730940941</v>
      </c>
      <c r="E7" s="47">
        <f>(1+Assumptions!B33)^3</f>
        <v>1.2040422895512342</v>
      </c>
      <c r="F7" s="47">
        <f>(1+Assumptions!B33)^4</f>
        <v>1.2809209276698268</v>
      </c>
      <c r="G7" s="47">
        <f>(1+Assumptions!B33)^5</f>
        <v>1.3627083011794101</v>
      </c>
    </row>
    <row r="8" spans="1:7" x14ac:dyDescent="0.3">
      <c r="A8" s="43" t="s">
        <v>203</v>
      </c>
      <c r="C8" s="44">
        <f>C6/C7</f>
        <v>52392919.866156839</v>
      </c>
      <c r="D8" s="44">
        <f>D6/D7</f>
        <v>54707991.691931374</v>
      </c>
      <c r="E8" s="44">
        <f>E6/E7</f>
        <v>56205791.526939139</v>
      </c>
      <c r="F8" s="44">
        <f>F6/F7</f>
        <v>57518397.749951109</v>
      </c>
      <c r="G8" s="44">
        <f>G6/G7</f>
        <v>58640375.256678492</v>
      </c>
    </row>
    <row r="10" spans="1:7" x14ac:dyDescent="0.3">
      <c r="A10" s="43" t="s">
        <v>204</v>
      </c>
      <c r="C10" s="2">
        <f>SUM(C8:G8)</f>
        <v>279465476.09165692</v>
      </c>
      <c r="D10" s="2"/>
      <c r="E10" s="2"/>
      <c r="F10" s="2"/>
      <c r="G10" s="2"/>
    </row>
    <row r="12" spans="1:7" x14ac:dyDescent="0.3">
      <c r="A12" s="4" t="s">
        <v>205</v>
      </c>
      <c r="B12" s="4"/>
      <c r="C12" s="4"/>
      <c r="D12" s="4"/>
      <c r="E12" s="4"/>
      <c r="F12" s="4"/>
      <c r="G12" s="4"/>
    </row>
    <row r="13" spans="1:7" x14ac:dyDescent="0.3">
      <c r="A13" s="7" t="s">
        <v>206</v>
      </c>
      <c r="C13" s="42">
        <f>'Cash Flow Projection'!G19</f>
        <v>79909726.14655146</v>
      </c>
    </row>
    <row r="14" spans="1:7" x14ac:dyDescent="0.3">
      <c r="A14" s="7" t="s">
        <v>207</v>
      </c>
      <c r="C14" s="19">
        <f>Assumptions!G14</f>
        <v>0.03</v>
      </c>
    </row>
    <row r="15" spans="1:7" x14ac:dyDescent="0.3">
      <c r="A15" s="7" t="s">
        <v>31</v>
      </c>
      <c r="C15" s="19">
        <f>Assumptions!B33</f>
        <v>6.3850446770641806E-2</v>
      </c>
    </row>
    <row r="16" spans="1:7" x14ac:dyDescent="0.3">
      <c r="A16" s="7"/>
    </row>
    <row r="17" spans="1:7" x14ac:dyDescent="0.3">
      <c r="A17" s="43" t="s">
        <v>208</v>
      </c>
    </row>
    <row r="18" spans="1:7" x14ac:dyDescent="0.3">
      <c r="A18" s="43" t="s">
        <v>209</v>
      </c>
      <c r="C18" s="48">
        <f>C13*(1+C14)/(C15-C14)</f>
        <v>2431489855.6178632</v>
      </c>
    </row>
    <row r="19" spans="1:7" x14ac:dyDescent="0.3">
      <c r="A19" s="7"/>
    </row>
    <row r="20" spans="1:7" x14ac:dyDescent="0.3">
      <c r="A20" s="43" t="s">
        <v>210</v>
      </c>
    </row>
    <row r="21" spans="1:7" x14ac:dyDescent="0.3">
      <c r="A21" s="43" t="s">
        <v>211</v>
      </c>
      <c r="C21" s="48">
        <f>C18/((1+C15)^5)</f>
        <v>1784306922.848737</v>
      </c>
    </row>
    <row r="22" spans="1:7" x14ac:dyDescent="0.3">
      <c r="A22" s="4" t="s">
        <v>212</v>
      </c>
      <c r="B22" s="4"/>
      <c r="C22" s="4"/>
      <c r="D22" s="4"/>
      <c r="E22" s="4"/>
      <c r="F22" s="4"/>
      <c r="G22" s="4"/>
    </row>
    <row r="23" spans="1:7" x14ac:dyDescent="0.3">
      <c r="A23" s="43" t="s">
        <v>213</v>
      </c>
      <c r="C23" s="46">
        <f>C10+C20</f>
        <v>279465476.09165692</v>
      </c>
    </row>
    <row r="24" spans="1:7" x14ac:dyDescent="0.3">
      <c r="A24" s="7" t="s">
        <v>214</v>
      </c>
      <c r="C24" s="42">
        <f>-Assumptions!B28</f>
        <v>-20453772</v>
      </c>
    </row>
    <row r="25" spans="1:7" x14ac:dyDescent="0.3">
      <c r="A25" s="7" t="s">
        <v>215</v>
      </c>
      <c r="C25" s="31">
        <v>0</v>
      </c>
    </row>
    <row r="26" spans="1:7" x14ac:dyDescent="0.3">
      <c r="A26" s="7" t="s">
        <v>216</v>
      </c>
      <c r="C26" s="42">
        <f>'Historical Data'!D29</f>
        <v>26739469</v>
      </c>
    </row>
    <row r="27" spans="1:7" x14ac:dyDescent="0.3">
      <c r="A27" s="7"/>
    </row>
    <row r="28" spans="1:7" x14ac:dyDescent="0.3">
      <c r="A28" s="43" t="s">
        <v>217</v>
      </c>
      <c r="C28" s="46">
        <f>C23-C24+C25+C26</f>
        <v>326658717.09165692</v>
      </c>
    </row>
    <row r="30" spans="1:7" x14ac:dyDescent="0.3">
      <c r="A30" s="4" t="s">
        <v>218</v>
      </c>
      <c r="B30" s="4"/>
      <c r="C30" s="4"/>
      <c r="D30" s="4"/>
      <c r="E30" s="4"/>
      <c r="F30" s="4"/>
      <c r="G30" s="4"/>
    </row>
    <row r="31" spans="1:7" x14ac:dyDescent="0.3">
      <c r="A31" s="7" t="s">
        <v>219</v>
      </c>
      <c r="C31" s="31">
        <v>5146488</v>
      </c>
    </row>
    <row r="32" spans="1:7" x14ac:dyDescent="0.3">
      <c r="A32" s="7" t="s">
        <v>220</v>
      </c>
      <c r="C32" s="42">
        <f>C28</f>
        <v>326658717.09165692</v>
      </c>
    </row>
    <row r="33" spans="1:7" ht="17.399999999999999" x14ac:dyDescent="0.3">
      <c r="A33" s="43" t="s">
        <v>221</v>
      </c>
      <c r="C33" s="49">
        <f>IFERROR(C28/C31,0)</f>
        <v>63.472161421858345</v>
      </c>
    </row>
    <row r="35" spans="1:7" x14ac:dyDescent="0.3">
      <c r="A35" s="4" t="s">
        <v>222</v>
      </c>
      <c r="B35" s="4"/>
      <c r="C35" s="4"/>
      <c r="D35" s="4"/>
      <c r="E35" s="4"/>
      <c r="F35" s="4"/>
      <c r="G35" s="4"/>
    </row>
    <row r="36" spans="1:7" x14ac:dyDescent="0.3">
      <c r="A36" s="7" t="s">
        <v>223</v>
      </c>
      <c r="C36" s="42">
        <f>C10</f>
        <v>279465476.09165692</v>
      </c>
    </row>
    <row r="37" spans="1:7" x14ac:dyDescent="0.3">
      <c r="A37" s="7" t="s">
        <v>224</v>
      </c>
      <c r="C37" s="42">
        <f>C20</f>
        <v>0</v>
      </c>
    </row>
    <row r="38" spans="1:7" x14ac:dyDescent="0.3">
      <c r="A38" s="43" t="s">
        <v>213</v>
      </c>
      <c r="C38" s="44">
        <f>C23</f>
        <v>279465476.09165692</v>
      </c>
    </row>
    <row r="39" spans="1:7" x14ac:dyDescent="0.3">
      <c r="A39" s="7" t="s">
        <v>225</v>
      </c>
      <c r="C39" s="42">
        <f>C24</f>
        <v>-20453772</v>
      </c>
    </row>
    <row r="40" spans="1:7" x14ac:dyDescent="0.3">
      <c r="A40" s="7" t="s">
        <v>226</v>
      </c>
      <c r="C40" s="42">
        <f>C26</f>
        <v>26739469</v>
      </c>
    </row>
    <row r="41" spans="1:7" x14ac:dyDescent="0.3">
      <c r="A41" s="43" t="s">
        <v>227</v>
      </c>
      <c r="C41" s="44">
        <f>C28</f>
        <v>326658717.09165692</v>
      </c>
    </row>
    <row r="42" spans="1:7" x14ac:dyDescent="0.3">
      <c r="A42" s="43" t="s">
        <v>228</v>
      </c>
      <c r="C42" s="50">
        <f>C33</f>
        <v>63.472161421858345</v>
      </c>
    </row>
  </sheetData>
  <mergeCells count="8">
    <mergeCell ref="A22:G22"/>
    <mergeCell ref="A30:G30"/>
    <mergeCell ref="A35:G35"/>
    <mergeCell ref="A1:G1"/>
    <mergeCell ref="A2:G2"/>
    <mergeCell ref="A5:G5"/>
    <mergeCell ref="C10:G10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10" width="14" customWidth="1"/>
  </cols>
  <sheetData>
    <row r="1" spans="1:10" ht="17.399999999999999" customHeight="1" x14ac:dyDescent="0.3">
      <c r="A1" s="6" t="s">
        <v>229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 x14ac:dyDescent="0.3">
      <c r="A2" s="5" t="s">
        <v>230</v>
      </c>
      <c r="B2" s="5"/>
      <c r="C2" s="5"/>
      <c r="D2" s="5"/>
      <c r="E2" s="5"/>
      <c r="F2" s="5"/>
      <c r="G2" s="5"/>
      <c r="H2" s="5"/>
      <c r="I2" s="5"/>
      <c r="J2" s="5"/>
    </row>
    <row r="4" spans="1:10" x14ac:dyDescent="0.3">
      <c r="A4" s="4" t="s">
        <v>231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3">
      <c r="A5" s="36" t="s">
        <v>232</v>
      </c>
      <c r="C5" s="20">
        <v>0.05</v>
      </c>
      <c r="D5" s="20">
        <v>5.5E-2</v>
      </c>
      <c r="E5" s="20">
        <v>0.06</v>
      </c>
      <c r="F5" s="20">
        <v>6.5000000000000002E-2</v>
      </c>
      <c r="G5" s="20">
        <v>7.0000000000000007E-2</v>
      </c>
      <c r="H5" s="20">
        <v>7.4999999999999997E-2</v>
      </c>
      <c r="I5" s="20">
        <v>0.08</v>
      </c>
    </row>
    <row r="6" spans="1:10" x14ac:dyDescent="0.3">
      <c r="A6" s="20">
        <v>0.06</v>
      </c>
      <c r="C6" s="21">
        <v>199.29</v>
      </c>
      <c r="D6" s="21">
        <v>159.41</v>
      </c>
      <c r="E6" s="21">
        <v>132.83000000000001</v>
      </c>
      <c r="F6" s="21">
        <v>113.84</v>
      </c>
      <c r="G6" s="21">
        <v>99.61</v>
      </c>
      <c r="H6" s="21">
        <v>88.54</v>
      </c>
      <c r="I6" s="21">
        <v>79.680000000000007</v>
      </c>
    </row>
    <row r="7" spans="1:10" x14ac:dyDescent="0.3">
      <c r="A7" s="20">
        <v>7.0000000000000007E-2</v>
      </c>
      <c r="C7" s="21">
        <v>208.49</v>
      </c>
      <c r="D7" s="21">
        <v>166.7</v>
      </c>
      <c r="E7" s="21">
        <v>138.84</v>
      </c>
      <c r="F7" s="21">
        <v>118.94</v>
      </c>
      <c r="G7" s="21">
        <v>104.03</v>
      </c>
      <c r="H7" s="21">
        <v>92.43</v>
      </c>
      <c r="I7" s="21">
        <v>83.15</v>
      </c>
    </row>
    <row r="8" spans="1:10" x14ac:dyDescent="0.3">
      <c r="A8" s="20">
        <v>0.08</v>
      </c>
      <c r="C8" s="21">
        <v>218.04</v>
      </c>
      <c r="D8" s="21">
        <v>174.25</v>
      </c>
      <c r="E8" s="21">
        <v>145.07</v>
      </c>
      <c r="F8" s="21">
        <v>124.23</v>
      </c>
      <c r="G8" s="21">
        <v>108.61</v>
      </c>
      <c r="H8" s="21">
        <v>96.46</v>
      </c>
      <c r="I8" s="21">
        <v>86.75</v>
      </c>
    </row>
    <row r="9" spans="1:10" x14ac:dyDescent="0.3">
      <c r="A9" s="20">
        <v>0.09</v>
      </c>
      <c r="C9" s="21">
        <v>227.94</v>
      </c>
      <c r="D9" s="21">
        <v>182.09</v>
      </c>
      <c r="E9" s="51">
        <v>151.54</v>
      </c>
      <c r="F9" s="51">
        <v>129.72</v>
      </c>
      <c r="G9" s="21">
        <v>113.36</v>
      </c>
      <c r="H9" s="21">
        <v>100.64</v>
      </c>
      <c r="I9" s="21">
        <v>90.47</v>
      </c>
    </row>
    <row r="10" spans="1:10" x14ac:dyDescent="0.3">
      <c r="A10" s="20">
        <v>0.1</v>
      </c>
      <c r="C10" s="21">
        <v>238.2</v>
      </c>
      <c r="D10" s="21">
        <v>190.21</v>
      </c>
      <c r="E10" s="21">
        <v>158.22999999999999</v>
      </c>
      <c r="F10" s="21">
        <v>135.4</v>
      </c>
      <c r="G10" s="21">
        <v>118.28</v>
      </c>
      <c r="H10" s="21">
        <v>104.97</v>
      </c>
      <c r="I10" s="21">
        <v>94.33</v>
      </c>
    </row>
    <row r="11" spans="1:10" x14ac:dyDescent="0.3">
      <c r="A11" s="20">
        <v>0.11</v>
      </c>
      <c r="C11" s="21">
        <v>248.83</v>
      </c>
      <c r="D11" s="21">
        <v>198.63</v>
      </c>
      <c r="E11" s="21">
        <v>165.18</v>
      </c>
      <c r="F11" s="21">
        <v>141.29</v>
      </c>
      <c r="G11" s="21">
        <v>123.38</v>
      </c>
      <c r="H11" s="21">
        <v>109.46</v>
      </c>
      <c r="I11" s="21">
        <v>98.32</v>
      </c>
    </row>
    <row r="12" spans="1:10" x14ac:dyDescent="0.3">
      <c r="A12" s="20">
        <v>0.12</v>
      </c>
      <c r="C12" s="21">
        <v>259.85000000000002</v>
      </c>
      <c r="D12" s="21">
        <v>207.35</v>
      </c>
      <c r="E12" s="21">
        <v>172.37</v>
      </c>
      <c r="F12" s="21">
        <v>147.38</v>
      </c>
      <c r="G12" s="21">
        <v>128.66</v>
      </c>
      <c r="H12" s="21">
        <v>114.1</v>
      </c>
      <c r="I12" s="21">
        <v>102.46</v>
      </c>
    </row>
    <row r="14" spans="1:10" x14ac:dyDescent="0.3">
      <c r="A14" s="1" t="s">
        <v>233</v>
      </c>
      <c r="B14" s="1"/>
      <c r="C14" s="1"/>
      <c r="D14" s="1"/>
      <c r="E14" s="1"/>
      <c r="F14" s="1"/>
      <c r="G14" s="1"/>
      <c r="H14" s="1"/>
      <c r="I14" s="1"/>
      <c r="J14" s="1"/>
    </row>
    <row r="16" spans="1:10" x14ac:dyDescent="0.3">
      <c r="A16" s="4" t="s">
        <v>234</v>
      </c>
      <c r="B16" s="4"/>
      <c r="C16" s="4"/>
      <c r="D16" s="4"/>
      <c r="E16" s="4"/>
      <c r="F16" s="4"/>
      <c r="G16" s="4"/>
      <c r="H16" s="4"/>
      <c r="I16" s="4"/>
      <c r="J16" s="4"/>
    </row>
    <row r="17" spans="1:9" x14ac:dyDescent="0.3">
      <c r="A17" s="36" t="s">
        <v>235</v>
      </c>
      <c r="C17" s="20">
        <v>0.05</v>
      </c>
      <c r="D17" s="20">
        <v>5.5E-2</v>
      </c>
      <c r="E17" s="20">
        <v>0.06</v>
      </c>
      <c r="F17" s="20">
        <v>6.5000000000000002E-2</v>
      </c>
      <c r="G17" s="20">
        <v>7.0000000000000007E-2</v>
      </c>
      <c r="H17" s="20">
        <v>7.4999999999999997E-2</v>
      </c>
      <c r="I17" s="20">
        <v>0.08</v>
      </c>
    </row>
    <row r="18" spans="1:9" x14ac:dyDescent="0.3">
      <c r="A18" s="20">
        <v>0.02</v>
      </c>
      <c r="C18" s="21">
        <v>157.15</v>
      </c>
      <c r="D18" s="21">
        <v>134.46</v>
      </c>
      <c r="E18" s="21">
        <v>117.46</v>
      </c>
      <c r="F18" s="21">
        <v>104.24</v>
      </c>
      <c r="G18" s="21">
        <v>93.67</v>
      </c>
      <c r="H18" s="21">
        <v>85.02</v>
      </c>
      <c r="I18" s="21">
        <v>77.819999999999993</v>
      </c>
    </row>
    <row r="19" spans="1:9" x14ac:dyDescent="0.3">
      <c r="A19" s="20">
        <v>2.5000000000000001E-2</v>
      </c>
      <c r="C19" s="21">
        <v>185.46</v>
      </c>
      <c r="D19" s="21">
        <v>154.31</v>
      </c>
      <c r="E19" s="21">
        <v>132.06</v>
      </c>
      <c r="F19" s="21">
        <v>115.38</v>
      </c>
      <c r="G19" s="21">
        <v>102.42</v>
      </c>
      <c r="H19" s="21">
        <v>92.05</v>
      </c>
      <c r="I19" s="21">
        <v>83.57</v>
      </c>
    </row>
    <row r="20" spans="1:9" x14ac:dyDescent="0.3">
      <c r="A20" s="20">
        <v>0.03</v>
      </c>
      <c r="C20" s="21">
        <v>227.94</v>
      </c>
      <c r="D20" s="21">
        <v>182.09</v>
      </c>
      <c r="E20" s="22">
        <v>151.54</v>
      </c>
      <c r="F20" s="22">
        <v>129.72</v>
      </c>
      <c r="G20" s="21">
        <v>113.36</v>
      </c>
      <c r="H20" s="21">
        <v>100.64</v>
      </c>
      <c r="I20" s="21">
        <v>90.47</v>
      </c>
    </row>
    <row r="21" spans="1:9" x14ac:dyDescent="0.3">
      <c r="A21" s="20">
        <v>3.5000000000000003E-2</v>
      </c>
      <c r="C21" s="21">
        <v>298.73</v>
      </c>
      <c r="D21" s="21">
        <v>223.76</v>
      </c>
      <c r="E21" s="21">
        <v>178.8</v>
      </c>
      <c r="F21" s="21">
        <v>148.83000000000001</v>
      </c>
      <c r="G21" s="21">
        <v>127.43</v>
      </c>
      <c r="H21" s="21">
        <v>111.38</v>
      </c>
      <c r="I21" s="21">
        <v>98.9</v>
      </c>
    </row>
    <row r="22" spans="1:9" x14ac:dyDescent="0.3">
      <c r="A22" s="20">
        <v>0.04</v>
      </c>
      <c r="C22" s="21">
        <v>440.3</v>
      </c>
      <c r="D22" s="21">
        <v>293.22000000000003</v>
      </c>
      <c r="E22" s="21">
        <v>219.69</v>
      </c>
      <c r="F22" s="21">
        <v>175.58</v>
      </c>
      <c r="G22" s="21">
        <v>146.18</v>
      </c>
      <c r="H22" s="21">
        <v>125.19</v>
      </c>
      <c r="I22" s="21">
        <v>109.44</v>
      </c>
    </row>
  </sheetData>
  <mergeCells count="5">
    <mergeCell ref="A1:J1"/>
    <mergeCell ref="A2:J2"/>
    <mergeCell ref="A4:J4"/>
    <mergeCell ref="A14:J14"/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Assumptions</vt:lpstr>
      <vt:lpstr>Historical Data</vt:lpstr>
      <vt:lpstr>Income Statement</vt:lpstr>
      <vt:lpstr>Cash Flow Projection</vt:lpstr>
      <vt:lpstr>DCF Valuation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MARCELO FREIRE</cp:lastModifiedBy>
  <cp:revision>0</cp:revision>
  <dcterms:created xsi:type="dcterms:W3CDTF">2026-04-22T22:12:27Z</dcterms:created>
  <dcterms:modified xsi:type="dcterms:W3CDTF">2026-04-22T22:37:14Z</dcterms:modified>
  <dc:language>en-US</dc:language>
</cp:coreProperties>
</file>